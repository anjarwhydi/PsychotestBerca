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yu.pratama.ROOT\Downloads\"/>
    </mc:Choice>
  </mc:AlternateContent>
  <xr:revisionPtr revIDLastSave="0" documentId="13_ncr:1_{05134222-5098-43E3-99DC-504D21A0C042}" xr6:coauthVersionLast="45" xr6:coauthVersionMax="45" xr10:uidLastSave="{00000000-0000-0000-0000-000000000000}"/>
  <bookViews>
    <workbookView xWindow="-110" yWindow="-110" windowWidth="19420" windowHeight="10300" firstSheet="8" activeTab="8" xr2:uid="{385F33ED-A158-408B-8ECF-93DE7E3361E4}"/>
  </bookViews>
  <sheets>
    <sheet name="IST" sheetId="3" state="hidden" r:id="rId1"/>
    <sheet name="PAPI" sheetId="4" state="hidden" r:id="rId2"/>
    <sheet name="MSDT" sheetId="5" state="hidden" r:id="rId3"/>
    <sheet name="DISC" sheetId="6" state="hidden" r:id="rId4"/>
    <sheet name="RMIB" sheetId="7" state="hidden" r:id="rId5"/>
    <sheet name="NORMA IST" sheetId="1" state="hidden" r:id="rId6"/>
    <sheet name="NORMA PAPI" sheetId="2" state="hidden" r:id="rId7"/>
    <sheet name="MAPPING" sheetId="8" state="hidden" r:id="rId8"/>
    <sheet name="PSIKOGRAM" sheetId="13" r:id="rId9"/>
  </sheets>
  <definedNames>
    <definedName name="_xlnm.Print_Area" localSheetId="8">PSIKOGRAM!$A$1:$K$39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" i="3" l="1"/>
  <c r="A25" i="13" l="1"/>
  <c r="A26" i="13"/>
  <c r="A27" i="13" s="1"/>
  <c r="A28" i="13" s="1"/>
  <c r="A31" i="13"/>
  <c r="C115" i="1" l="1"/>
  <c r="C31" i="1" l="1"/>
  <c r="C59" i="1"/>
  <c r="C87" i="1"/>
  <c r="C3" i="1"/>
  <c r="C143" i="1"/>
  <c r="K2" i="8" l="1"/>
  <c r="J2" i="8"/>
  <c r="B2" i="8"/>
  <c r="G2" i="8"/>
  <c r="F2" i="8"/>
  <c r="C2" i="8"/>
  <c r="A2" i="8"/>
  <c r="Y25" i="8"/>
  <c r="A2" i="2" l="1"/>
  <c r="O13" i="8" s="1"/>
  <c r="R13" i="8" s="1"/>
  <c r="S13" i="8" s="1"/>
  <c r="D2" i="2"/>
  <c r="G2" i="2"/>
  <c r="J2" i="2"/>
  <c r="U37" i="8" s="1"/>
  <c r="M2" i="2"/>
  <c r="V37" i="8" s="1"/>
  <c r="P2" i="2"/>
  <c r="S2" i="2"/>
  <c r="U13" i="8" s="1"/>
  <c r="V2" i="2"/>
  <c r="Y2" i="2"/>
  <c r="X25" i="8" s="1"/>
  <c r="AB2" i="2"/>
  <c r="AE2" i="2"/>
  <c r="AH2" i="2"/>
  <c r="V25" i="8" s="1"/>
  <c r="AK2" i="2"/>
  <c r="AN2" i="2"/>
  <c r="AQ2" i="2"/>
  <c r="AT2" i="2"/>
  <c r="AW2" i="2"/>
  <c r="O37" i="8" s="1"/>
  <c r="AZ2" i="2"/>
  <c r="BC2" i="2"/>
  <c r="BF2" i="2"/>
  <c r="D2" i="8" a="1"/>
  <c r="D2" i="8" s="1"/>
  <c r="H2" i="8" a="1"/>
  <c r="H2" i="8" s="1"/>
  <c r="L2" i="8" a="1"/>
  <c r="L2" i="8" s="1"/>
  <c r="P13" i="8"/>
  <c r="Q13" i="8"/>
  <c r="V13" i="8"/>
  <c r="O25" i="8"/>
  <c r="P25" i="8" s="1"/>
  <c r="Q25" i="8" s="1"/>
  <c r="U25" i="8"/>
  <c r="W25" i="8"/>
  <c r="P37" i="8"/>
  <c r="W37" i="8"/>
  <c r="O49" i="8"/>
  <c r="P49" i="8"/>
  <c r="Q49" i="8"/>
  <c r="R49" i="8" s="1"/>
  <c r="Q37" i="8" l="1"/>
  <c r="R37" i="8" s="1"/>
  <c r="W13" i="8"/>
  <c r="X13" i="8" s="1"/>
  <c r="Z25" i="8"/>
  <c r="X37" i="8"/>
  <c r="Y3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Natashya Nadine</author>
  </authors>
  <commentList>
    <comment ref="B1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IST</t>
        </r>
      </text>
    </comment>
    <comment ref="B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IST</t>
        </r>
      </text>
    </comment>
    <comment ref="B1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IST</t>
        </r>
      </text>
    </comment>
    <comment ref="B2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PAPI
</t>
        </r>
      </text>
    </comment>
    <comment ref="B2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PAPI</t>
        </r>
      </text>
    </comment>
    <comment ref="B2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PAPI</t>
        </r>
      </text>
    </comment>
    <comment ref="B25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PAPI</t>
        </r>
      </text>
    </comment>
    <comment ref="B2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PAPI</t>
        </r>
      </text>
    </comment>
    <comment ref="B2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PAPI</t>
        </r>
      </text>
    </comment>
    <comment ref="B2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RMIB</t>
        </r>
      </text>
    </comment>
    <comment ref="B3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PAPI</t>
        </r>
      </text>
    </comment>
    <comment ref="B31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Natashya Nadine:</t>
        </r>
        <r>
          <rPr>
            <sz val="9"/>
            <color indexed="81"/>
            <rFont val="Tahoma"/>
            <family val="2"/>
          </rPr>
          <t xml:space="preserve">
MSDT</t>
        </r>
      </text>
    </comment>
  </commentList>
</comments>
</file>

<file path=xl/sharedStrings.xml><?xml version="1.0" encoding="utf-8"?>
<sst xmlns="http://schemas.openxmlformats.org/spreadsheetml/2006/main" count="2586" uniqueCount="148">
  <si>
    <t>SE</t>
  </si>
  <si>
    <t>WA</t>
  </si>
  <si>
    <t>AN</t>
  </si>
  <si>
    <t>GE</t>
  </si>
  <si>
    <t>RA</t>
  </si>
  <si>
    <t>ZR</t>
  </si>
  <si>
    <t>FA</t>
  </si>
  <si>
    <t>WU</t>
  </si>
  <si>
    <t>ME</t>
  </si>
  <si>
    <t>IQ</t>
  </si>
  <si>
    <t>IQ_CAT</t>
  </si>
  <si>
    <t>Nama</t>
  </si>
  <si>
    <t>Usia</t>
  </si>
  <si>
    <t>Usia (Tahun)</t>
  </si>
  <si>
    <t>N</t>
  </si>
  <si>
    <t>G</t>
  </si>
  <si>
    <t>A</t>
  </si>
  <si>
    <t>L</t>
  </si>
  <si>
    <t>P</t>
  </si>
  <si>
    <t>I</t>
  </si>
  <si>
    <t>T</t>
  </si>
  <si>
    <t>S</t>
  </si>
  <si>
    <t>X</t>
  </si>
  <si>
    <t>D</t>
  </si>
  <si>
    <t>Z</t>
  </si>
  <si>
    <t>K</t>
  </si>
  <si>
    <t>V</t>
  </si>
  <si>
    <t>B</t>
  </si>
  <si>
    <t>O</t>
  </si>
  <si>
    <t>E</t>
  </si>
  <si>
    <t>C</t>
  </si>
  <si>
    <t>R</t>
  </si>
  <si>
    <t>F</t>
  </si>
  <si>
    <t>W</t>
  </si>
  <si>
    <t>V1</t>
  </si>
  <si>
    <t>V1 Cat</t>
  </si>
  <si>
    <t>V2</t>
  </si>
  <si>
    <t>V3</t>
  </si>
  <si>
    <t>V2 Cat</t>
  </si>
  <si>
    <t>V3 Cat</t>
  </si>
  <si>
    <t>Umur &lt; 21</t>
  </si>
  <si>
    <t>1. SE</t>
  </si>
  <si>
    <t>2. WA</t>
  </si>
  <si>
    <t>3. AN</t>
  </si>
  <si>
    <t>4. GE</t>
  </si>
  <si>
    <t>5. RA</t>
  </si>
  <si>
    <t>6. ZR</t>
  </si>
  <si>
    <t>7. FA</t>
  </si>
  <si>
    <t>8. WU</t>
  </si>
  <si>
    <t>9. ME</t>
  </si>
  <si>
    <t>RW</t>
  </si>
  <si>
    <t>SW</t>
  </si>
  <si>
    <t>Keterangan</t>
  </si>
  <si>
    <t>﻿124</t>
  </si>
  <si>
    <t>﻿129</t>
  </si>
  <si>
    <t>Umur 21 - 25</t>
  </si>
  <si>
    <t>﻿134</t>
  </si>
  <si>
    <t>﻿126</t>
  </si>
  <si>
    <t>﻿125</t>
  </si>
  <si>
    <t xml:space="preserve">﻿131 </t>
  </si>
  <si>
    <t xml:space="preserve">﻿125 </t>
  </si>
  <si>
    <t>﻿127</t>
  </si>
  <si>
    <t>﻿122</t>
  </si>
  <si>
    <t>Umur 26 - 30</t>
  </si>
  <si>
    <t xml:space="preserve">﻿133 </t>
  </si>
  <si>
    <t>﻿131</t>
  </si>
  <si>
    <t>﻿128</t>
  </si>
  <si>
    <t>Umur 31 - 35</t>
  </si>
  <si>
    <t xml:space="preserve">﻿126 </t>
  </si>
  <si>
    <t>Umur 36 - 40</t>
  </si>
  <si>
    <t xml:space="preserve">﻿132 </t>
  </si>
  <si>
    <t>﻿132</t>
  </si>
  <si>
    <t>Umur &gt; 41</t>
  </si>
  <si>
    <t>Result</t>
  </si>
  <si>
    <t>Skor</t>
  </si>
  <si>
    <t>C-</t>
  </si>
  <si>
    <t>C+</t>
  </si>
  <si>
    <t>ALAT TES IST</t>
  </si>
  <si>
    <t>ALAT TES PAPI</t>
  </si>
  <si>
    <t>INDEX</t>
  </si>
  <si>
    <t>RESULT</t>
  </si>
  <si>
    <t>Analisa Verbal</t>
  </si>
  <si>
    <t>Analisa Numerical</t>
  </si>
  <si>
    <t>Daya Tangkap dan Daya Ingat</t>
  </si>
  <si>
    <t>Motivasi Berprestasi</t>
  </si>
  <si>
    <t>Tempo Bekerja</t>
  </si>
  <si>
    <t>MAPPING</t>
  </si>
  <si>
    <t>Ketelitian</t>
  </si>
  <si>
    <t>Hubungan Sosial</t>
  </si>
  <si>
    <t>Stabilitas Emosi</t>
  </si>
  <si>
    <t>Sikap Kepemimpinan</t>
  </si>
  <si>
    <t>CC-</t>
  </si>
  <si>
    <t>PT. BERCA HARDAYAPERKASA</t>
  </si>
  <si>
    <t>RAHASIA</t>
  </si>
  <si>
    <t>HANYA UNTUK INTERNAL PERUSAHAAN</t>
  </si>
  <si>
    <t>LAPORAN HASIL INTERVIEW DAN TES PSIKOLOGI</t>
  </si>
  <si>
    <t xml:space="preserve">NAMA </t>
  </si>
  <si>
    <t>POSISI YANG DILAMAR</t>
  </si>
  <si>
    <t>USIA</t>
  </si>
  <si>
    <t>DEPARTMENT</t>
  </si>
  <si>
    <t>PENDIDIKAN TERAKHIR</t>
  </si>
  <si>
    <t>USER/SUPERIOR</t>
  </si>
  <si>
    <t>II. HASIL TES PSIKOLOGI (PSIKOGRAM)</t>
  </si>
  <si>
    <t>DIMENSI</t>
  </si>
  <si>
    <t>Gambaran individu pada ”taraf” rendah</t>
  </si>
  <si>
    <t>TARAF</t>
  </si>
  <si>
    <t>Gambaran individu pada ”taraf” tinggi</t>
  </si>
  <si>
    <t>SK</t>
  </si>
  <si>
    <t>SB</t>
  </si>
  <si>
    <t>INTELIGENSI</t>
  </si>
  <si>
    <t>Tidak mampu menganalisa permasalahan, sulit mencari solusi permasalahan, lemah dalam  perhitungan, ketelitian dan kecepatan untuk berfikir</t>
  </si>
  <si>
    <t xml:space="preserve">Mampu mendefinisikan suatu informasi yang ada, proses berpikir teratur dan terarah mengikuti pola/aturan tertentu serta kuat dalam berfikir secara terstruktur. </t>
  </si>
  <si>
    <t>Analisa Angka</t>
  </si>
  <si>
    <t>Ketidakmampuan individu dalam mengolah angka, baik dalam bentuk perhitungan, analisa, dan juga pemahaman mengenai aritmatika</t>
  </si>
  <si>
    <t xml:space="preserve">Memiliki kemampuan lebih dalam penalaran terutama yang berhubungan dengan logika matematis serta mampu menganalisa suatu masalah berikut pemecahannya </t>
  </si>
  <si>
    <t>Daya tangkap dan daya ingat</t>
  </si>
  <si>
    <t xml:space="preserve">Tidak mampu menangkap, mengingat dan mengolah informasi yang diterima </t>
  </si>
  <si>
    <t>Memiliki kemampuan lebih untuk menangkap, mengingat dan mengolah informasi dari orang lain</t>
  </si>
  <si>
    <t>SIKAP KERJA</t>
  </si>
  <si>
    <t>Tempo kerja</t>
  </si>
  <si>
    <t>Lamban dalam bekerja</t>
  </si>
  <si>
    <t>Cepat dalam bekerja.</t>
  </si>
  <si>
    <t>Sering membuat kesalahan yang tidak perlu</t>
  </si>
  <si>
    <t>Bekerja dengan cermat dan hati-hati.</t>
  </si>
  <si>
    <t>KEPRIBADIAN</t>
  </si>
  <si>
    <t>Kepercayaan diri</t>
  </si>
  <si>
    <t>Kurang dapat bersikap tegas, kurang yakin akan kemampuan diri</t>
  </si>
  <si>
    <t>Dapat bersikap tegas, mampu mengeluarkan pendapat tanpa ”menyakiti” orang lain, teguh pada pendirian, yakin akan kemampuan diri.</t>
  </si>
  <si>
    <t>Motivasi berprestasi</t>
  </si>
  <si>
    <t>Tidak berkeinginan untuk mencapai hasil/prestasi sebaik mungkin (bekerja ”asal jadi”), tidak ada inisiatif, mudah puas.</t>
  </si>
  <si>
    <t>Keinginan untuk melakukan pekerjaan sebaik mungkin, selalu ingin tampil lebih baik dari orang lain, berinisiatif, ambisius.</t>
  </si>
  <si>
    <t>Tenang, dapat mengendalikan emosi, tidak mudah terpengaruh oleh situasi/keadaaan (tidak mudah terbawa perusahaan)</t>
  </si>
  <si>
    <t>Kurang suka bergaul, introvert, individual.</t>
  </si>
  <si>
    <t>Senang bergaul, ekstrovert, membina hubungan dengan orang lain secara baik.</t>
  </si>
  <si>
    <t xml:space="preserve">Minat </t>
  </si>
  <si>
    <t>KEPEMIMPINAN*</t>
  </si>
  <si>
    <t>Tipe ”pelaksana”, tidak mampu memotivasi dan mempengaruhi orang lain, tidak mampu mengkoordinasi orang lain, ragu-ragu dalam membuat keputusan.</t>
  </si>
  <si>
    <t>Percaya diri tampil sebagai pemimpin, dapat memotivasi, mempengaruhi, dan mengkoordinasi orang lain, tegas dalam membuat keputusan</t>
  </si>
  <si>
    <t>Gaya Kepemimpinan</t>
  </si>
  <si>
    <t>Ket :</t>
  </si>
  <si>
    <t>* : untuk level Sr. Staff keatas</t>
  </si>
  <si>
    <t>Kesimpulan dan saran</t>
  </si>
  <si>
    <t>HRD</t>
  </si>
  <si>
    <t>O   Dapat disarankan          O   Dipertimbangkan         O   Tidak disarankan</t>
  </si>
  <si>
    <t>Nama :</t>
  </si>
  <si>
    <t>Tgl :</t>
  </si>
  <si>
    <r>
      <t xml:space="preserve">Agresif, bertindak tanpa berpikir, </t>
    </r>
    <r>
      <rPr>
        <i/>
        <sz val="11"/>
        <color rgb="FF333333"/>
        <rFont val="Arial"/>
        <family val="2"/>
      </rPr>
      <t>moody</t>
    </r>
    <r>
      <rPr>
        <sz val="11"/>
        <color rgb="FF333333"/>
        <rFont val="Arial"/>
        <family val="2"/>
      </rPr>
      <t>, emosi mudah terpengaruh oleh keadaan/situasi.</t>
    </r>
  </si>
  <si>
    <t>Kepercayaan Diri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</si>
</sst>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333333"/>
      <name val="Arial"/>
      <family val="2"/>
    </font>
    <font>
      <sz val="11"/>
      <color theme="1"/>
      <name val="Arial"/>
      <family val="2"/>
    </font>
    <font>
      <i/>
      <sz val="11"/>
      <color rgb="FF333333"/>
      <name val="Arial"/>
      <family val="2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5" fillId="0" borderId="0"/>
    <xf numFmtId="0" fontId="7" fillId="0" borderId="0"/>
  </cellStyleXfs>
  <cellXfs count="38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 vertical="center"/>
    </xf>
    <xf numFmtId="0" fontId="2" fillId="0" borderId="1" xfId="1" applyFont="1" applyBorder="1"/>
    <xf numFmtId="0" fontId="2" fillId="0" borderId="1" xfId="1" applyFont="1" applyBorder="1" applyAlignment="1">
      <alignment horizontal="center" vertical="center"/>
    </xf>
    <xf numFmtId="0" fontId="3" fillId="0" borderId="0" xfId="1" applyFont="1" applyAlignment="1">
      <alignment horizontal="center"/>
    </xf>
    <xf numFmtId="0" fontId="4" fillId="0" borderId="1" xfId="1" applyFont="1" applyBorder="1" applyAlignment="1">
      <alignment horizontal="center"/>
    </xf>
    <xf numFmtId="0" fontId="2" fillId="0" borderId="10" xfId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applyFont="1" applyBorder="1" applyAlignment="1">
      <alignment horizontal="center"/>
    </xf>
    <xf numFmtId="0" fontId="5" fillId="0" borderId="0" xfId="2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14" fillId="0" borderId="0" xfId="0" applyFont="1" applyAlignment="1">
      <alignment vertical="top" wrapText="1"/>
    </xf>
    <xf numFmtId="0" fontId="6" fillId="10" borderId="1" xfId="0" applyNumberFormat="1" applyFont="1" applyFill="1" applyBorder="1" applyAlignment="1" applyProtection="1">
      <alignment horizontal="center"/>
    </xf>
    <xf numFmtId="0" fontId="6" fillId="0" borderId="0" xfId="0" applyNumberFormat="1" applyFont="1" applyFill="1" applyAlignment="1" applyProtection="1"/>
    <xf numFmtId="0" fontId="5" fillId="10" borderId="1" xfId="0" applyNumberFormat="1" applyFont="1" applyFill="1" applyBorder="1" applyAlignment="1" applyProtection="1">
      <alignment horizontal="center"/>
    </xf>
    <xf numFmtId="0" fontId="0" fillId="10" borderId="1" xfId="0" applyNumberFormat="1" applyFill="1" applyBorder="1" applyAlignment="1" applyProtection="1">
      <alignment horizontal="center"/>
    </xf>
    <xf numFmtId="0" fontId="2" fillId="3" borderId="1" xfId="0" applyNumberFormat="1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</xf>
    <xf numFmtId="0" fontId="2" fillId="5" borderId="1" xfId="0" applyNumberFormat="1" applyFont="1" applyFill="1" applyBorder="1" applyAlignment="1" applyProtection="1">
      <alignment horizontal="center" vertical="center"/>
    </xf>
    <xf numFmtId="0" fontId="2" fillId="6" borderId="1" xfId="0" applyNumberFormat="1" applyFont="1" applyFill="1" applyBorder="1" applyAlignment="1" applyProtection="1">
      <alignment horizontal="center" vertical="center"/>
    </xf>
    <xf numFmtId="0" fontId="2" fillId="7" borderId="1" xfId="0" applyNumberFormat="1" applyFont="1" applyFill="1" applyBorder="1" applyAlignment="1" applyProtection="1">
      <alignment horizontal="center" vertical="center"/>
    </xf>
    <xf numFmtId="0" fontId="8" fillId="13" borderId="1" xfId="0" applyNumberFormat="1" applyFont="1" applyFill="1" applyBorder="1" applyAlignment="1" applyProtection="1">
      <alignment horizontal="center" vertical="center"/>
    </xf>
    <xf numFmtId="0" fontId="8" fillId="13" borderId="13" xfId="0" applyNumberFormat="1" applyFont="1" applyFill="1" applyBorder="1" applyAlignment="1" applyProtection="1">
      <alignment horizontal="center" vertical="center"/>
    </xf>
    <xf numFmtId="0" fontId="0" fillId="14" borderId="1" xfId="0" applyNumberFormat="1" applyFill="1" applyBorder="1" applyAlignment="1" applyProtection="1">
      <alignment horizontal="center"/>
    </xf>
    <xf numFmtId="0" fontId="0" fillId="14" borderId="1" xfId="0" applyNumberFormat="1" applyFill="1" applyBorder="1" applyAlignment="1" applyProtection="1">
      <alignment horizontal="center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vertical="center" wrapText="1"/>
    </xf>
    <xf numFmtId="0" fontId="0" fillId="9" borderId="0" xfId="0" applyFill="1" applyAlignment="1">
      <alignment horizontal="center" vertical="center"/>
    </xf>
    <xf numFmtId="0" fontId="16" fillId="9" borderId="0" xfId="0" applyFont="1" applyFill="1" applyAlignment="1">
      <alignment vertical="center"/>
    </xf>
    <xf numFmtId="0" fontId="0" fillId="9" borderId="0" xfId="0" applyFill="1" applyAlignment="1">
      <alignment horizontal="left" vertical="center"/>
    </xf>
    <xf numFmtId="0" fontId="0" fillId="9" borderId="24" xfId="0" applyFill="1" applyBorder="1" applyAlignment="1">
      <alignment vertical="center"/>
    </xf>
    <xf numFmtId="0" fontId="13" fillId="9" borderId="18" xfId="0" applyFont="1" applyFill="1" applyBorder="1" applyAlignment="1">
      <alignment vertical="center" wrapText="1"/>
    </xf>
    <xf numFmtId="0" fontId="0" fillId="9" borderId="1" xfId="0" applyFill="1" applyBorder="1" applyAlignment="1">
      <alignment vertical="center"/>
    </xf>
    <xf numFmtId="0" fontId="0" fillId="9" borderId="1" xfId="0" applyFill="1" applyBorder="1" applyAlignment="1">
      <alignment vertical="center" wrapText="1"/>
    </xf>
    <xf numFmtId="0" fontId="13" fillId="9" borderId="1" xfId="0" applyFont="1" applyFill="1" applyBorder="1" applyAlignment="1">
      <alignment vertical="center" wrapText="1"/>
    </xf>
    <xf numFmtId="0" fontId="0" fillId="9" borderId="18" xfId="0" applyFill="1" applyBorder="1" applyAlignment="1">
      <alignment vertical="center" wrapText="1"/>
    </xf>
    <xf numFmtId="0" fontId="12" fillId="9" borderId="0" xfId="0" applyFont="1" applyFill="1" applyAlignment="1">
      <alignment vertical="center"/>
    </xf>
    <xf numFmtId="0" fontId="0" fillId="9" borderId="5" xfId="0" applyFill="1" applyBorder="1" applyAlignment="1">
      <alignment vertical="center"/>
    </xf>
    <xf numFmtId="0" fontId="8" fillId="9" borderId="5" xfId="0" applyFont="1" applyFill="1" applyBorder="1" applyAlignment="1">
      <alignment vertical="center"/>
    </xf>
    <xf numFmtId="0" fontId="8" fillId="9" borderId="5" xfId="0" applyFont="1" applyFill="1" applyBorder="1" applyAlignment="1">
      <alignment horizontal="left" vertical="center"/>
    </xf>
    <xf numFmtId="0" fontId="10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center" indent="15"/>
    </xf>
    <xf numFmtId="0" fontId="3" fillId="4" borderId="1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1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1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1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1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1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1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1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1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1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1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center" vertical="center"/>
    </xf>
    <xf numFmtId="0" fontId="3" fillId="16" borderId="10" xfId="1" applyFont="1" applyFill="1" applyBorder="1" applyAlignment="1">
      <alignment horizontal="center" vertical="center"/>
    </xf>
    <xf numFmtId="0" fontId="3" fillId="5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1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16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0" fontId="10" fillId="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9" borderId="33" xfId="0" applyFill="1" applyBorder="1" applyAlignment="1">
      <alignment horizontal="left" vertical="top" wrapText="1"/>
    </xf>
    <xf numFmtId="0" fontId="0" fillId="9" borderId="20" xfId="0" applyFill="1" applyBorder="1" applyAlignment="1">
      <alignment horizontal="left" vertical="top" wrapText="1"/>
    </xf>
    <xf numFmtId="0" fontId="0" fillId="9" borderId="32" xfId="0" applyFill="1" applyBorder="1" applyAlignment="1">
      <alignment horizontal="left" vertical="top" wrapText="1"/>
    </xf>
    <xf numFmtId="0" fontId="0" fillId="9" borderId="31" xfId="0" applyFill="1" applyBorder="1" applyAlignment="1">
      <alignment horizontal="left" vertical="top" wrapText="1"/>
    </xf>
    <xf numFmtId="0" fontId="0" fillId="9" borderId="0" xfId="0" applyFill="1" applyBorder="1" applyAlignment="1">
      <alignment horizontal="left" vertical="top" wrapText="1"/>
    </xf>
    <xf numFmtId="0" fontId="0" fillId="9" borderId="30" xfId="0" applyFill="1" applyBorder="1" applyAlignment="1">
      <alignment horizontal="left" vertical="top" wrapText="1"/>
    </xf>
    <xf numFmtId="0" fontId="0" fillId="9" borderId="29" xfId="0" applyFill="1" applyBorder="1" applyAlignment="1">
      <alignment horizontal="left" vertical="top" wrapText="1"/>
    </xf>
    <xf numFmtId="0" fontId="0" fillId="9" borderId="28" xfId="0" applyFill="1" applyBorder="1" applyAlignment="1">
      <alignment horizontal="left" vertical="top" wrapText="1"/>
    </xf>
    <xf numFmtId="0" fontId="0" fillId="9" borderId="27" xfId="0" applyFill="1" applyBorder="1" applyAlignment="1">
      <alignment horizontal="left" vertical="top" wrapText="1"/>
    </xf>
    <xf numFmtId="0" fontId="3" fillId="8" borderId="7" xfId="0" applyNumberFormat="1" applyFont="1" applyFill="1" applyBorder="1" applyAlignment="1" applyProtection="1">
      <alignment horizontal="center"/>
    </xf>
    <xf numFmtId="0" fontId="3" fillId="8" borderId="8" xfId="0" applyNumberFormat="1" applyFont="1" applyFill="1" applyBorder="1" applyAlignment="1" applyProtection="1">
      <alignment horizontal="center"/>
    </xf>
    <xf numFmtId="0" fontId="3" fillId="8" borderId="9" xfId="0" applyNumberFormat="1" applyFont="1" applyFill="1" applyBorder="1" applyAlignment="1" applyProtection="1">
      <alignment horizont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3" fillId="8" borderId="4" xfId="0" applyNumberFormat="1" applyFont="1" applyFill="1" applyBorder="1" applyAlignment="1" applyProtection="1">
      <alignment horizontal="center"/>
    </xf>
    <xf numFmtId="0" fontId="3" fillId="8" borderId="5" xfId="0" applyNumberFormat="1" applyFont="1" applyFill="1" applyBorder="1" applyAlignment="1" applyProtection="1">
      <alignment horizontal="center"/>
    </xf>
    <xf numFmtId="0" fontId="3" fillId="8" borderId="6" xfId="0" applyNumberFormat="1" applyFont="1" applyFill="1" applyBorder="1" applyAlignment="1" applyProtection="1">
      <alignment horizontal="center"/>
    </xf>
    <xf numFmtId="0" fontId="2" fillId="2" borderId="1" xfId="0" applyNumberFormat="1" applyFont="1" applyFill="1" applyBorder="1" applyAlignment="1" applyProtection="1">
      <alignment horizontal="center" vertical="center"/>
    </xf>
    <xf numFmtId="0" fontId="3" fillId="0" borderId="5" xfId="1" applyFont="1" applyBorder="1" applyAlignment="1">
      <alignment horizontal="center"/>
    </xf>
    <xf numFmtId="0" fontId="2" fillId="15" borderId="0" xfId="0" applyNumberFormat="1" applyFont="1" applyFill="1" applyAlignment="1" applyProtection="1">
      <alignment horizontal="center"/>
    </xf>
    <xf numFmtId="0" fontId="8" fillId="12" borderId="0" xfId="0" applyNumberFormat="1" applyFont="1" applyFill="1" applyAlignment="1" applyProtection="1">
      <alignment horizontal="center" vertical="center"/>
    </xf>
    <xf numFmtId="0" fontId="9" fillId="11" borderId="0" xfId="0" applyNumberFormat="1" applyFont="1" applyFill="1" applyAlignment="1" applyProtection="1">
      <alignment horizontal="center" vertical="center"/>
    </xf>
    <xf numFmtId="0" fontId="8" fillId="12" borderId="5" xfId="0" applyNumberFormat="1" applyFont="1" applyFill="1" applyBorder="1" applyAlignment="1" applyProtection="1">
      <alignment horizontal="center" vertical="center"/>
    </xf>
    <xf numFmtId="0" fontId="8" fillId="12" borderId="12" xfId="0" applyNumberFormat="1" applyFont="1" applyFill="1" applyBorder="1" applyAlignment="1" applyProtection="1">
      <alignment horizontal="center" vertical="center"/>
    </xf>
    <xf numFmtId="0" fontId="14" fillId="9" borderId="35" xfId="0" applyFont="1" applyFill="1" applyBorder="1" applyAlignment="1">
      <alignment horizontal="left" vertical="center" wrapText="1"/>
    </xf>
    <xf numFmtId="0" fontId="14" fillId="9" borderId="36" xfId="0" applyFont="1" applyFill="1" applyBorder="1" applyAlignment="1">
      <alignment horizontal="left" vertical="center" wrapText="1"/>
    </xf>
    <xf numFmtId="0" fontId="14" fillId="9" borderId="37" xfId="0" applyFont="1" applyFill="1" applyBorder="1" applyAlignment="1">
      <alignment horizontal="left"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9" borderId="15" xfId="0" applyFill="1" applyBorder="1" applyAlignment="1">
      <alignment horizontal="left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9" borderId="18" xfId="0" applyFill="1" applyBorder="1" applyAlignment="1">
      <alignment horizontal="left" vertical="center"/>
    </xf>
    <xf numFmtId="0" fontId="0" fillId="9" borderId="24" xfId="0" applyFill="1" applyBorder="1" applyAlignment="1">
      <alignment horizontal="left" vertical="center"/>
    </xf>
    <xf numFmtId="0" fontId="0" fillId="9" borderId="25" xfId="0" applyFill="1" applyBorder="1" applyAlignment="1">
      <alignment horizontal="left" vertical="center"/>
    </xf>
    <xf numFmtId="0" fontId="0" fillId="9" borderId="31" xfId="0" applyFill="1" applyBorder="1" applyAlignment="1">
      <alignment horizontal="left" vertical="top" wrapText="1"/>
    </xf>
    <xf numFmtId="0" fontId="0" fillId="9" borderId="0" xfId="0" applyFill="1" applyBorder="1" applyAlignment="1">
      <alignment horizontal="left" vertical="top" wrapText="1"/>
    </xf>
    <xf numFmtId="0" fontId="0" fillId="9" borderId="30" xfId="0" applyFill="1" applyBorder="1" applyAlignment="1">
      <alignment horizontal="left" vertical="top" wrapText="1"/>
    </xf>
    <xf numFmtId="0" fontId="0" fillId="9" borderId="16" xfId="0" applyFill="1" applyBorder="1" applyAlignment="1">
      <alignment horizontal="center" vertical="center" wrapText="1"/>
    </xf>
    <xf numFmtId="0" fontId="0" fillId="9" borderId="18" xfId="0" applyFill="1" applyBorder="1" applyAlignment="1">
      <alignment horizontal="center" vertical="center" wrapText="1"/>
    </xf>
    <xf numFmtId="0" fontId="0" fillId="9" borderId="17" xfId="0" applyFill="1" applyBorder="1" applyAlignment="1">
      <alignment horizontal="left" vertical="center"/>
    </xf>
    <xf numFmtId="0" fontId="13" fillId="9" borderId="7" xfId="0" applyFont="1" applyFill="1" applyBorder="1" applyAlignment="1" applyProtection="1">
      <alignment horizontal="left" vertical="top" wrapText="1"/>
    </xf>
    <xf numFmtId="0" fontId="13" fillId="9" borderId="8" xfId="0" applyFont="1" applyFill="1" applyBorder="1" applyAlignment="1" applyProtection="1">
      <alignment horizontal="left" vertical="top" wrapText="1"/>
    </xf>
    <xf numFmtId="0" fontId="13" fillId="9" borderId="34" xfId="0" applyFont="1" applyFill="1" applyBorder="1" applyAlignment="1" applyProtection="1">
      <alignment horizontal="left" vertical="top" wrapText="1"/>
    </xf>
    <xf numFmtId="0" fontId="0" fillId="9" borderId="19" xfId="0" applyFill="1" applyBorder="1" applyAlignment="1">
      <alignment horizontal="left" vertical="center"/>
    </xf>
    <xf numFmtId="0" fontId="0" fillId="9" borderId="20" xfId="0" applyFill="1" applyBorder="1" applyAlignment="1">
      <alignment horizontal="left" vertical="center"/>
    </xf>
    <xf numFmtId="0" fontId="0" fillId="9" borderId="21" xfId="0" applyFill="1" applyBorder="1" applyAlignment="1">
      <alignment horizontal="left" vertical="center"/>
    </xf>
    <xf numFmtId="0" fontId="0" fillId="9" borderId="22" xfId="0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9" borderId="23" xfId="0" applyFill="1" applyBorder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0" fillId="9" borderId="15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0" fillId="9" borderId="0" xfId="0" applyFont="1" applyFill="1" applyAlignment="1">
      <alignment horizontal="left" vertical="center"/>
    </xf>
    <xf numFmtId="0" fontId="11" fillId="9" borderId="2" xfId="0" applyFont="1" applyFill="1" applyBorder="1" applyAlignment="1">
      <alignment horizontal="center" vertical="center"/>
    </xf>
    <xf numFmtId="0" fontId="11" fillId="9" borderId="12" xfId="0" applyFont="1" applyFill="1" applyBorder="1" applyAlignment="1">
      <alignment horizontal="center" vertical="center"/>
    </xf>
    <xf numFmtId="0" fontId="11" fillId="9" borderId="3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</cellXfs>
  <cellStyles count="4">
    <cellStyle name="Normal" xfId="0" builtinId="0"/>
    <cellStyle name="Normal 2" xfId="1" xr:uid="{EE3D7DE2-B54C-4A14-946E-C02AB74FBFBB}"/>
    <cellStyle name="Normal 3" xfId="2" xr:uid="{C5379844-2990-4A8C-952A-4BCCD3F378D4}"/>
    <cellStyle name="Normal 4" xfId="3" xr:uid="{EE8DEE1A-CC86-479E-9F08-40C90BE1B23A}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1142998</xdr:colOff>
      <xdr:row>0</xdr:row>
      <xdr:rowOff>35721</xdr:rowOff>
    </xdr:from>
    <xdr:to>
      <xdr:col>10</xdr:col>
      <xdr:colOff>3786185</xdr:colOff>
      <xdr:row>1</xdr:row>
      <xdr:rowOff>301626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C0E1720-0996-4B3F-A2CA-D120A4CF6E3D}"/>
            </a:ext>
          </a:extLst>
        </xdr:cNvPr>
        <xdr:cNvSpPr/>
      </xdr:nvSpPr>
      <xdr:spPr>
        <a:xfrm>
          <a:off x="7054848" y="35721"/>
          <a:ext cx="1587" cy="329405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ID" sz="1100" b="1" baseline="0"/>
            <a:t>                  </a:t>
          </a:r>
          <a:r>
            <a:rPr lang="id-ID" sz="1100" b="1"/>
            <a:t>No. Dokumen : FM-HR-01-04</a:t>
          </a:r>
          <a:endParaRPr lang="en-ID" sz="1100" b="1"/>
        </a:p>
        <a:p>
          <a:pPr algn="l"/>
          <a:r>
            <a:rPr lang="en-ID" sz="1100" b="1"/>
            <a:t>                  No. Revisi        : 01</a:t>
          </a:r>
          <a:endParaRPr lang="id-ID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779AD-5596-449E-B3A2-BCBB0622274D}">
  <sheetPr codeName="Sheet3"/>
  <dimension ref="A1:P2"/>
  <sheetViews>
    <sheetView workbookViewId="0">
      <selection activeCell="N3" sqref="N3"/>
    </sheetView>
  </sheetViews>
  <sheetFormatPr defaultRowHeight="14.5" x14ac:dyDescent="0.35"/>
  <sheetData>
    <row r="1" spans="1:16" x14ac:dyDescent="0.3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7"/>
      <c r="P1" s="10"/>
    </row>
    <row r="2" spans="1:16" x14ac:dyDescent="0.35">
      <c r="N2">
        <f>VALUE(IFERROR(LEFT(M2,FIND("tahun",M2)-1),0))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F647F-3363-4155-9C76-421FD0B8B23D}">
  <sheetPr codeName="Sheet4"/>
  <dimension ref="A1:T1"/>
  <sheetViews>
    <sheetView workbookViewId="0">
      <selection activeCell="B3" sqref="B3"/>
    </sheetView>
  </sheetViews>
  <sheetFormatPr defaultRowHeight="14.5" x14ac:dyDescent="0.35"/>
  <sheetData>
    <row r="1" spans="1:20" x14ac:dyDescent="0.35">
      <c r="A1" s="18" t="s">
        <v>14</v>
      </c>
      <c r="B1" s="18" t="s">
        <v>15</v>
      </c>
      <c r="C1" s="18" t="s">
        <v>16</v>
      </c>
      <c r="D1" s="18" t="s">
        <v>17</v>
      </c>
      <c r="E1" s="18" t="s">
        <v>18</v>
      </c>
      <c r="F1" s="18" t="s">
        <v>19</v>
      </c>
      <c r="G1" s="18" t="s">
        <v>20</v>
      </c>
      <c r="H1" s="18" t="s">
        <v>21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8" t="s">
        <v>31</v>
      </c>
      <c r="S1" s="18" t="s">
        <v>32</v>
      </c>
      <c r="T1" s="18" t="s">
        <v>33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B5DBD-BBDB-4F45-A97C-4D084A713103}">
  <sheetPr codeName="Sheet5"/>
  <dimension ref="A1:B2"/>
  <sheetViews>
    <sheetView topLeftCell="A2" workbookViewId="0">
      <selection activeCell="A2" sqref="A2:B2"/>
    </sheetView>
  </sheetViews>
  <sheetFormatPr defaultRowHeight="14.5" x14ac:dyDescent="0.35"/>
  <sheetData>
    <row r="1" spans="1:2" x14ac:dyDescent="0.35">
      <c r="A1" s="19" t="s">
        <v>34</v>
      </c>
      <c r="B1" s="19" t="s">
        <v>35</v>
      </c>
    </row>
    <row r="2" spans="1:2" x14ac:dyDescent="0.35">
      <c r="B2" s="3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1362-B7A1-4FED-A39D-470052489ADE}">
  <sheetPr codeName="Sheet6"/>
  <dimension ref="A1:B2"/>
  <sheetViews>
    <sheetView workbookViewId="0">
      <selection activeCell="B2" activeCellId="2" sqref="A2 B2 B2"/>
    </sheetView>
  </sheetViews>
  <sheetFormatPr defaultRowHeight="14.5" x14ac:dyDescent="0.35"/>
  <sheetData>
    <row r="1" spans="1:2" x14ac:dyDescent="0.35">
      <c r="A1" s="16" t="s">
        <v>34</v>
      </c>
      <c r="B1" s="16" t="s">
        <v>36</v>
      </c>
    </row>
    <row r="2" spans="1:2" x14ac:dyDescent="0.35">
      <c r="B2" s="32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314C-4ED7-48CF-AE42-B4BF9977B68F}">
  <sheetPr codeName="Sheet7"/>
  <dimension ref="A1:F2"/>
  <sheetViews>
    <sheetView workbookViewId="0">
      <selection activeCell="F7" sqref="F7"/>
    </sheetView>
  </sheetViews>
  <sheetFormatPr defaultRowHeight="14.5" x14ac:dyDescent="0.35"/>
  <sheetData>
    <row r="1" spans="1:6" x14ac:dyDescent="0.35">
      <c r="A1" s="16" t="s">
        <v>34</v>
      </c>
      <c r="B1" s="16" t="s">
        <v>36</v>
      </c>
      <c r="C1" s="16" t="s">
        <v>37</v>
      </c>
      <c r="D1" s="16" t="s">
        <v>35</v>
      </c>
      <c r="E1" s="16" t="s">
        <v>38</v>
      </c>
      <c r="F1" s="16" t="s">
        <v>39</v>
      </c>
    </row>
    <row r="2" spans="1:6" x14ac:dyDescent="0.35">
      <c r="A2" s="320"/>
      <c r="B2" s="320"/>
      <c r="C2" s="320"/>
      <c r="D2" s="320"/>
      <c r="E2" s="320"/>
      <c r="F2" s="320"/>
    </row>
  </sheetData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C944C-041E-4A18-A3A1-0540484E8DDF}">
  <sheetPr codeName="Sheet1"/>
  <dimension ref="A2:AI167"/>
  <sheetViews>
    <sheetView topLeftCell="AF145" zoomScale="66" zoomScaleNormal="66" workbookViewId="0">
      <selection activeCell="C31" sqref="C31"/>
    </sheetView>
  </sheetViews>
  <sheetFormatPr defaultRowHeight="14.5" x14ac:dyDescent="0.35"/>
  <sheetData>
    <row r="2" spans="1:35" ht="15" customHeight="1" x14ac:dyDescent="0.35"/>
    <row r="3" spans="1:35" ht="15" customHeight="1" x14ac:dyDescent="0.35">
      <c r="A3" s="333" t="s">
        <v>40</v>
      </c>
      <c r="B3" s="334"/>
      <c r="C3" t="str">
        <f>IF(IST!$N2 &lt; 21,"True","")</f>
        <v>True</v>
      </c>
    </row>
    <row r="4" spans="1:35" x14ac:dyDescent="0.35">
      <c r="A4" s="335" t="s">
        <v>41</v>
      </c>
      <c r="B4" s="336"/>
      <c r="C4" s="337"/>
      <c r="D4" s="1"/>
      <c r="E4" s="330" t="s">
        <v>42</v>
      </c>
      <c r="F4" s="331"/>
      <c r="G4" s="332"/>
      <c r="H4" s="1"/>
      <c r="I4" s="330" t="s">
        <v>43</v>
      </c>
      <c r="J4" s="331"/>
      <c r="K4" s="332"/>
      <c r="L4" s="5"/>
      <c r="M4" s="331" t="s">
        <v>44</v>
      </c>
      <c r="N4" s="331"/>
      <c r="O4" s="332"/>
      <c r="P4" s="1"/>
      <c r="Q4" s="330" t="s">
        <v>45</v>
      </c>
      <c r="R4" s="331"/>
      <c r="S4" s="332"/>
      <c r="T4" s="1"/>
      <c r="U4" s="330" t="s">
        <v>46</v>
      </c>
      <c r="V4" s="331"/>
      <c r="W4" s="332"/>
      <c r="X4" s="1"/>
      <c r="Y4" s="330" t="s">
        <v>47</v>
      </c>
      <c r="Z4" s="331"/>
      <c r="AA4" s="332"/>
      <c r="AB4" s="1"/>
      <c r="AC4" s="330" t="s">
        <v>48</v>
      </c>
      <c r="AD4" s="331"/>
      <c r="AE4" s="332"/>
      <c r="AF4" s="1"/>
      <c r="AG4" s="330" t="s">
        <v>49</v>
      </c>
      <c r="AH4" s="331"/>
      <c r="AI4" s="332"/>
    </row>
    <row r="5" spans="1:35" x14ac:dyDescent="0.35">
      <c r="A5" s="6" t="s">
        <v>50</v>
      </c>
      <c r="B5" s="4" t="s">
        <v>51</v>
      </c>
      <c r="C5" s="4" t="s">
        <v>52</v>
      </c>
      <c r="D5" s="1"/>
      <c r="E5" s="6" t="s">
        <v>50</v>
      </c>
      <c r="F5" s="4" t="s">
        <v>51</v>
      </c>
      <c r="G5" s="4" t="s">
        <v>52</v>
      </c>
      <c r="H5" s="1"/>
      <c r="I5" s="4" t="s">
        <v>50</v>
      </c>
      <c r="J5" s="4" t="s">
        <v>51</v>
      </c>
      <c r="K5" s="4" t="s">
        <v>52</v>
      </c>
      <c r="L5" s="2"/>
      <c r="M5" s="6" t="s">
        <v>50</v>
      </c>
      <c r="N5" s="4" t="s">
        <v>51</v>
      </c>
      <c r="O5" s="4" t="s">
        <v>52</v>
      </c>
      <c r="P5" s="1"/>
      <c r="Q5" s="6" t="s">
        <v>50</v>
      </c>
      <c r="R5" s="4" t="s">
        <v>51</v>
      </c>
      <c r="S5" s="4" t="s">
        <v>52</v>
      </c>
      <c r="T5" s="1"/>
      <c r="U5" s="6" t="s">
        <v>50</v>
      </c>
      <c r="V5" s="4" t="s">
        <v>51</v>
      </c>
      <c r="W5" s="4" t="s">
        <v>52</v>
      </c>
      <c r="X5" s="1"/>
      <c r="Y5" s="6" t="s">
        <v>50</v>
      </c>
      <c r="Z5" s="4" t="s">
        <v>51</v>
      </c>
      <c r="AA5" s="4" t="s">
        <v>52</v>
      </c>
      <c r="AB5" s="1"/>
      <c r="AC5" s="6" t="s">
        <v>50</v>
      </c>
      <c r="AD5" s="4" t="s">
        <v>51</v>
      </c>
      <c r="AE5" s="4" t="s">
        <v>52</v>
      </c>
      <c r="AF5" s="1"/>
      <c r="AG5" s="6" t="s">
        <v>50</v>
      </c>
      <c r="AH5" s="4" t="s">
        <v>51</v>
      </c>
      <c r="AI5" s="4" t="s">
        <v>52</v>
      </c>
    </row>
    <row r="6" spans="1:35" x14ac:dyDescent="0.35">
      <c r="A6" s="6">
        <v>99</v>
      </c>
      <c r="B6" s="4">
        <v>999</v>
      </c>
      <c r="C6" s="7" t="s">
        <v>27</v>
      </c>
      <c r="D6" s="1"/>
      <c r="E6" s="6">
        <v>99</v>
      </c>
      <c r="F6" s="4">
        <v>999</v>
      </c>
      <c r="G6" s="7" t="s">
        <v>27</v>
      </c>
      <c r="H6" s="1"/>
      <c r="I6" s="4">
        <v>99</v>
      </c>
      <c r="J6" s="4">
        <v>999</v>
      </c>
      <c r="K6" s="7" t="s">
        <v>27</v>
      </c>
      <c r="L6" s="2"/>
      <c r="M6" s="6">
        <v>99</v>
      </c>
      <c r="N6" s="4">
        <v>999</v>
      </c>
      <c r="O6" s="4" t="s">
        <v>27</v>
      </c>
      <c r="P6" s="1"/>
      <c r="Q6" s="6">
        <v>99</v>
      </c>
      <c r="R6" s="4">
        <v>99</v>
      </c>
      <c r="S6" s="7" t="s">
        <v>27</v>
      </c>
      <c r="T6" s="1"/>
      <c r="U6" s="6">
        <v>99</v>
      </c>
      <c r="V6" s="4">
        <v>999</v>
      </c>
      <c r="W6" s="4" t="s">
        <v>27</v>
      </c>
      <c r="X6" s="1"/>
      <c r="Y6" s="6">
        <v>99</v>
      </c>
      <c r="Z6" s="4">
        <v>999</v>
      </c>
      <c r="AA6" s="4" t="s">
        <v>27</v>
      </c>
      <c r="AB6" s="1"/>
      <c r="AC6" s="6">
        <v>99</v>
      </c>
      <c r="AD6" s="4">
        <v>999</v>
      </c>
      <c r="AE6" s="7" t="s">
        <v>27</v>
      </c>
      <c r="AF6" s="1"/>
      <c r="AG6" s="6">
        <v>99</v>
      </c>
      <c r="AH6" s="4">
        <v>999</v>
      </c>
      <c r="AI6" s="4" t="s">
        <v>27</v>
      </c>
    </row>
    <row r="7" spans="1:35" x14ac:dyDescent="0.35">
      <c r="A7" s="4">
        <v>20</v>
      </c>
      <c r="B7" s="4">
        <v>126</v>
      </c>
      <c r="C7" s="47" t="s">
        <v>27</v>
      </c>
      <c r="D7" s="1"/>
      <c r="E7" s="4">
        <v>20</v>
      </c>
      <c r="F7" s="4">
        <v>131</v>
      </c>
      <c r="G7" s="57" t="s">
        <v>27</v>
      </c>
      <c r="H7" s="1"/>
      <c r="I7" s="4">
        <v>20</v>
      </c>
      <c r="J7" s="4">
        <v>126</v>
      </c>
      <c r="K7" s="69" t="s">
        <v>27</v>
      </c>
      <c r="L7" s="1"/>
      <c r="M7" s="4">
        <v>20</v>
      </c>
      <c r="N7" s="4" t="s">
        <v>53</v>
      </c>
      <c r="O7" s="79" t="s">
        <v>27</v>
      </c>
      <c r="P7" s="1"/>
      <c r="Q7" s="4">
        <v>20</v>
      </c>
      <c r="R7" s="4">
        <v>130</v>
      </c>
      <c r="S7" s="89" t="s">
        <v>27</v>
      </c>
      <c r="T7" s="1"/>
      <c r="U7" s="4">
        <v>20</v>
      </c>
      <c r="V7" s="4">
        <v>123</v>
      </c>
      <c r="W7" s="99" t="s">
        <v>27</v>
      </c>
      <c r="X7" s="1"/>
      <c r="Y7" s="4">
        <v>20</v>
      </c>
      <c r="Z7" s="4">
        <v>126</v>
      </c>
      <c r="AA7" s="109" t="s">
        <v>27</v>
      </c>
      <c r="AB7" s="1"/>
      <c r="AC7" s="4">
        <v>20</v>
      </c>
      <c r="AD7" s="4" t="s">
        <v>54</v>
      </c>
      <c r="AE7" s="119" t="s">
        <v>27</v>
      </c>
      <c r="AF7" s="1"/>
      <c r="AG7" s="4">
        <v>20</v>
      </c>
      <c r="AH7" s="4">
        <v>119</v>
      </c>
      <c r="AI7" s="129" t="s">
        <v>27</v>
      </c>
    </row>
    <row r="8" spans="1:35" x14ac:dyDescent="0.35">
      <c r="A8" s="4">
        <v>19</v>
      </c>
      <c r="B8" s="4">
        <v>123</v>
      </c>
      <c r="C8" s="47" t="s">
        <v>27</v>
      </c>
      <c r="D8" s="1"/>
      <c r="E8" s="4">
        <v>19</v>
      </c>
      <c r="F8" s="4">
        <v>128</v>
      </c>
      <c r="G8" s="58" t="s">
        <v>27</v>
      </c>
      <c r="H8" s="1"/>
      <c r="I8" s="4">
        <v>19</v>
      </c>
      <c r="J8" s="4">
        <v>123</v>
      </c>
      <c r="K8" s="69" t="s">
        <v>27</v>
      </c>
      <c r="L8" s="1"/>
      <c r="M8" s="4">
        <v>19</v>
      </c>
      <c r="N8" s="4">
        <v>122</v>
      </c>
      <c r="O8" s="79" t="s">
        <v>27</v>
      </c>
      <c r="P8" s="1"/>
      <c r="Q8" s="4">
        <v>19</v>
      </c>
      <c r="R8" s="4">
        <v>127</v>
      </c>
      <c r="S8" s="89" t="s">
        <v>27</v>
      </c>
      <c r="T8" s="1"/>
      <c r="U8" s="4">
        <v>19</v>
      </c>
      <c r="V8" s="4">
        <v>120</v>
      </c>
      <c r="W8" s="100" t="s">
        <v>76</v>
      </c>
      <c r="X8" s="1"/>
      <c r="Y8" s="4">
        <v>19</v>
      </c>
      <c r="Z8" s="4">
        <v>124</v>
      </c>
      <c r="AA8" s="109" t="s">
        <v>27</v>
      </c>
      <c r="AB8" s="1"/>
      <c r="AC8" s="4">
        <v>19</v>
      </c>
      <c r="AD8" s="4">
        <v>126</v>
      </c>
      <c r="AE8" s="119" t="s">
        <v>27</v>
      </c>
      <c r="AF8" s="1"/>
      <c r="AG8" s="4">
        <v>19</v>
      </c>
      <c r="AH8" s="4">
        <v>117</v>
      </c>
      <c r="AI8" s="130" t="s">
        <v>76</v>
      </c>
    </row>
    <row r="9" spans="1:35" x14ac:dyDescent="0.35">
      <c r="A9" s="4">
        <v>18</v>
      </c>
      <c r="B9" s="4">
        <v>120</v>
      </c>
      <c r="C9" s="47" t="s">
        <v>27</v>
      </c>
      <c r="D9" s="1"/>
      <c r="E9" s="4">
        <v>18</v>
      </c>
      <c r="F9" s="4">
        <v>125</v>
      </c>
      <c r="G9" s="58" t="s">
        <v>27</v>
      </c>
      <c r="H9" s="1"/>
      <c r="I9" s="4">
        <v>18</v>
      </c>
      <c r="J9" s="4">
        <v>121</v>
      </c>
      <c r="K9" s="69" t="s">
        <v>27</v>
      </c>
      <c r="L9" s="1"/>
      <c r="M9" s="4">
        <v>18</v>
      </c>
      <c r="N9" s="4">
        <v>119</v>
      </c>
      <c r="O9" s="79" t="s">
        <v>27</v>
      </c>
      <c r="P9" s="1"/>
      <c r="Q9" s="4">
        <v>18</v>
      </c>
      <c r="R9" s="4">
        <v>124</v>
      </c>
      <c r="S9" s="89" t="s">
        <v>27</v>
      </c>
      <c r="T9" s="1"/>
      <c r="U9" s="4">
        <v>18</v>
      </c>
      <c r="V9" s="4">
        <v>118</v>
      </c>
      <c r="W9" s="100" t="s">
        <v>76</v>
      </c>
      <c r="X9" s="1"/>
      <c r="Y9" s="4">
        <v>18</v>
      </c>
      <c r="Z9" s="4">
        <v>121</v>
      </c>
      <c r="AA9" s="109" t="s">
        <v>27</v>
      </c>
      <c r="AB9" s="1"/>
      <c r="AC9" s="4">
        <v>18</v>
      </c>
      <c r="AD9" s="4">
        <v>123</v>
      </c>
      <c r="AE9" s="119" t="s">
        <v>27</v>
      </c>
      <c r="AF9" s="1"/>
      <c r="AG9" s="4">
        <v>18</v>
      </c>
      <c r="AH9" s="4">
        <v>114</v>
      </c>
      <c r="AI9" s="130" t="s">
        <v>76</v>
      </c>
    </row>
    <row r="10" spans="1:35" x14ac:dyDescent="0.35">
      <c r="A10" s="4">
        <v>17</v>
      </c>
      <c r="B10" s="4">
        <v>117</v>
      </c>
      <c r="C10" s="47" t="s">
        <v>27</v>
      </c>
      <c r="D10" s="1"/>
      <c r="E10" s="4">
        <v>17</v>
      </c>
      <c r="F10" s="4">
        <v>121</v>
      </c>
      <c r="G10" s="59" t="s">
        <v>76</v>
      </c>
      <c r="H10" s="1"/>
      <c r="I10" s="4">
        <v>17</v>
      </c>
      <c r="J10" s="4">
        <v>118</v>
      </c>
      <c r="K10" s="69" t="s">
        <v>27</v>
      </c>
      <c r="L10" s="1"/>
      <c r="M10" s="4">
        <v>17</v>
      </c>
      <c r="N10" s="4">
        <v>116</v>
      </c>
      <c r="O10" s="79" t="s">
        <v>27</v>
      </c>
      <c r="P10" s="1"/>
      <c r="Q10" s="4">
        <v>17</v>
      </c>
      <c r="R10" s="4">
        <v>121</v>
      </c>
      <c r="S10" s="89" t="s">
        <v>27</v>
      </c>
      <c r="T10" s="1"/>
      <c r="U10" s="4">
        <v>17</v>
      </c>
      <c r="V10" s="4">
        <v>116</v>
      </c>
      <c r="W10" s="100" t="s">
        <v>76</v>
      </c>
      <c r="X10" s="1"/>
      <c r="Y10" s="4">
        <v>17</v>
      </c>
      <c r="Z10" s="4">
        <v>118</v>
      </c>
      <c r="AA10" s="109" t="s">
        <v>27</v>
      </c>
      <c r="AB10" s="1"/>
      <c r="AC10" s="4">
        <v>17</v>
      </c>
      <c r="AD10" s="4">
        <v>121</v>
      </c>
      <c r="AE10" s="119" t="s">
        <v>27</v>
      </c>
      <c r="AF10" s="1"/>
      <c r="AG10" s="4">
        <v>17</v>
      </c>
      <c r="AH10" s="4">
        <v>112</v>
      </c>
      <c r="AI10" s="130" t="s">
        <v>76</v>
      </c>
    </row>
    <row r="11" spans="1:35" x14ac:dyDescent="0.35">
      <c r="A11" s="4">
        <v>16</v>
      </c>
      <c r="B11" s="4">
        <v>114</v>
      </c>
      <c r="C11" s="47" t="s">
        <v>27</v>
      </c>
      <c r="D11" s="1"/>
      <c r="E11" s="4">
        <v>16</v>
      </c>
      <c r="F11" s="4">
        <v>118</v>
      </c>
      <c r="G11" s="59" t="s">
        <v>76</v>
      </c>
      <c r="H11" s="1"/>
      <c r="I11" s="4">
        <v>16</v>
      </c>
      <c r="J11" s="4">
        <v>115</v>
      </c>
      <c r="K11" s="69" t="s">
        <v>27</v>
      </c>
      <c r="L11" s="1"/>
      <c r="M11" s="4">
        <v>16</v>
      </c>
      <c r="N11" s="4">
        <v>114</v>
      </c>
      <c r="O11" s="79" t="s">
        <v>27</v>
      </c>
      <c r="P11" s="1"/>
      <c r="Q11" s="4">
        <v>16</v>
      </c>
      <c r="R11" s="4">
        <v>119</v>
      </c>
      <c r="S11" s="89" t="s">
        <v>27</v>
      </c>
      <c r="T11" s="1"/>
      <c r="U11" s="4">
        <v>16</v>
      </c>
      <c r="V11" s="4">
        <v>113</v>
      </c>
      <c r="W11" s="100" t="s">
        <v>76</v>
      </c>
      <c r="X11" s="1"/>
      <c r="Y11" s="4">
        <v>16</v>
      </c>
      <c r="Z11" s="4">
        <v>115</v>
      </c>
      <c r="AA11" s="110" t="s">
        <v>76</v>
      </c>
      <c r="AB11" s="1"/>
      <c r="AC11" s="4">
        <v>16</v>
      </c>
      <c r="AD11" s="4">
        <v>118</v>
      </c>
      <c r="AE11" s="119" t="s">
        <v>27</v>
      </c>
      <c r="AF11" s="1"/>
      <c r="AG11" s="4">
        <v>16</v>
      </c>
      <c r="AH11" s="4">
        <v>110</v>
      </c>
      <c r="AI11" s="130" t="s">
        <v>30</v>
      </c>
    </row>
    <row r="12" spans="1:35" x14ac:dyDescent="0.35">
      <c r="A12" s="4">
        <v>15</v>
      </c>
      <c r="B12" s="4">
        <v>112</v>
      </c>
      <c r="C12" s="48" t="s">
        <v>76</v>
      </c>
      <c r="D12" s="1"/>
      <c r="E12" s="4">
        <v>15</v>
      </c>
      <c r="F12" s="4">
        <v>115</v>
      </c>
      <c r="G12" s="59" t="s">
        <v>76</v>
      </c>
      <c r="H12" s="1"/>
      <c r="I12" s="4">
        <v>15</v>
      </c>
      <c r="J12" s="4">
        <v>113</v>
      </c>
      <c r="K12" s="70" t="s">
        <v>76</v>
      </c>
      <c r="L12" s="1"/>
      <c r="M12" s="4">
        <v>15</v>
      </c>
      <c r="N12" s="4">
        <v>111</v>
      </c>
      <c r="O12" s="79" t="s">
        <v>27</v>
      </c>
      <c r="P12" s="1"/>
      <c r="Q12" s="4">
        <v>15</v>
      </c>
      <c r="R12" s="4">
        <v>116</v>
      </c>
      <c r="S12" s="89" t="s">
        <v>27</v>
      </c>
      <c r="T12" s="1"/>
      <c r="U12" s="4">
        <v>15</v>
      </c>
      <c r="V12" s="4">
        <v>111</v>
      </c>
      <c r="W12" s="100" t="s">
        <v>76</v>
      </c>
      <c r="X12" s="1"/>
      <c r="Y12" s="4">
        <v>15</v>
      </c>
      <c r="Z12" s="4">
        <v>113</v>
      </c>
      <c r="AA12" s="110" t="s">
        <v>76</v>
      </c>
      <c r="AB12" s="1"/>
      <c r="AC12" s="4">
        <v>15</v>
      </c>
      <c r="AD12" s="4">
        <v>115</v>
      </c>
      <c r="AE12" s="120" t="s">
        <v>76</v>
      </c>
      <c r="AF12" s="1"/>
      <c r="AG12" s="4">
        <v>15</v>
      </c>
      <c r="AH12" s="4">
        <v>108</v>
      </c>
      <c r="AI12" s="130" t="s">
        <v>30</v>
      </c>
    </row>
    <row r="13" spans="1:35" x14ac:dyDescent="0.35">
      <c r="A13" s="4">
        <v>14</v>
      </c>
      <c r="B13" s="4">
        <v>109</v>
      </c>
      <c r="C13" s="48" t="s">
        <v>76</v>
      </c>
      <c r="D13" s="1"/>
      <c r="E13" s="4">
        <v>14</v>
      </c>
      <c r="F13" s="4">
        <v>111</v>
      </c>
      <c r="G13" s="60" t="s">
        <v>30</v>
      </c>
      <c r="H13" s="1"/>
      <c r="I13" s="4">
        <v>14</v>
      </c>
      <c r="J13" s="4">
        <v>110</v>
      </c>
      <c r="K13" s="70" t="s">
        <v>76</v>
      </c>
      <c r="L13" s="1"/>
      <c r="M13" s="4">
        <v>14</v>
      </c>
      <c r="N13" s="4">
        <v>109</v>
      </c>
      <c r="O13" s="80" t="s">
        <v>75</v>
      </c>
      <c r="P13" s="1"/>
      <c r="Q13" s="4">
        <v>14</v>
      </c>
      <c r="R13" s="4">
        <v>113</v>
      </c>
      <c r="S13" s="90" t="s">
        <v>75</v>
      </c>
      <c r="T13" s="1"/>
      <c r="U13" s="4">
        <v>14</v>
      </c>
      <c r="V13" s="4">
        <v>109</v>
      </c>
      <c r="W13" s="101" t="s">
        <v>30</v>
      </c>
      <c r="X13" s="1"/>
      <c r="Y13" s="4">
        <v>14</v>
      </c>
      <c r="Z13" s="4">
        <v>110</v>
      </c>
      <c r="AA13" s="110" t="s">
        <v>76</v>
      </c>
      <c r="AB13" s="1"/>
      <c r="AC13" s="4">
        <v>14</v>
      </c>
      <c r="AD13" s="4">
        <v>112</v>
      </c>
      <c r="AE13" s="120" t="s">
        <v>76</v>
      </c>
      <c r="AF13" s="1"/>
      <c r="AG13" s="4">
        <v>14</v>
      </c>
      <c r="AH13" s="4">
        <v>106</v>
      </c>
      <c r="AI13" s="130" t="s">
        <v>30</v>
      </c>
    </row>
    <row r="14" spans="1:35" x14ac:dyDescent="0.35">
      <c r="A14" s="4">
        <v>13</v>
      </c>
      <c r="B14" s="4">
        <v>106</v>
      </c>
      <c r="C14" s="48" t="s">
        <v>76</v>
      </c>
      <c r="D14" s="1"/>
      <c r="E14" s="4">
        <v>13</v>
      </c>
      <c r="F14" s="4">
        <v>108</v>
      </c>
      <c r="G14" s="60" t="s">
        <v>30</v>
      </c>
      <c r="H14" s="1"/>
      <c r="I14" s="4">
        <v>13</v>
      </c>
      <c r="J14" s="4">
        <v>108</v>
      </c>
      <c r="K14" s="70" t="s">
        <v>76</v>
      </c>
      <c r="L14" s="1"/>
      <c r="M14" s="4">
        <v>13</v>
      </c>
      <c r="N14" s="4">
        <v>106</v>
      </c>
      <c r="O14" s="80" t="s">
        <v>75</v>
      </c>
      <c r="P14" s="1"/>
      <c r="Q14" s="4">
        <v>13</v>
      </c>
      <c r="R14" s="4">
        <v>110</v>
      </c>
      <c r="S14" s="90" t="s">
        <v>75</v>
      </c>
      <c r="T14" s="1"/>
      <c r="U14" s="4">
        <v>13</v>
      </c>
      <c r="V14" s="4">
        <v>106</v>
      </c>
      <c r="W14" s="101" t="s">
        <v>30</v>
      </c>
      <c r="X14" s="1"/>
      <c r="Y14" s="4">
        <v>13</v>
      </c>
      <c r="Z14" s="4">
        <v>107</v>
      </c>
      <c r="AA14" s="110" t="s">
        <v>76</v>
      </c>
      <c r="AB14" s="1"/>
      <c r="AC14" s="4">
        <v>13</v>
      </c>
      <c r="AD14" s="4">
        <v>109</v>
      </c>
      <c r="AE14" s="120" t="s">
        <v>76</v>
      </c>
      <c r="AF14" s="1"/>
      <c r="AG14" s="4">
        <v>13</v>
      </c>
      <c r="AH14" s="4">
        <v>103</v>
      </c>
      <c r="AI14" s="130" t="s">
        <v>30</v>
      </c>
    </row>
    <row r="15" spans="1:35" x14ac:dyDescent="0.35">
      <c r="A15" s="4">
        <v>12</v>
      </c>
      <c r="B15" s="4">
        <v>103</v>
      </c>
      <c r="C15" s="49" t="s">
        <v>30</v>
      </c>
      <c r="D15" s="1"/>
      <c r="E15" s="4">
        <v>12</v>
      </c>
      <c r="F15" s="4">
        <v>105</v>
      </c>
      <c r="G15" s="61" t="s">
        <v>75</v>
      </c>
      <c r="H15" s="1"/>
      <c r="I15" s="4">
        <v>12</v>
      </c>
      <c r="J15" s="4">
        <v>105</v>
      </c>
      <c r="K15" s="70" t="s">
        <v>76</v>
      </c>
      <c r="L15" s="1"/>
      <c r="M15" s="4">
        <v>12</v>
      </c>
      <c r="N15" s="4">
        <v>104</v>
      </c>
      <c r="O15" s="81" t="s">
        <v>30</v>
      </c>
      <c r="P15" s="1"/>
      <c r="Q15" s="4">
        <v>12</v>
      </c>
      <c r="R15" s="4">
        <v>108</v>
      </c>
      <c r="S15" s="90" t="s">
        <v>75</v>
      </c>
      <c r="T15" s="1"/>
      <c r="U15" s="4">
        <v>12</v>
      </c>
      <c r="V15" s="4">
        <v>104</v>
      </c>
      <c r="W15" s="101" t="s">
        <v>30</v>
      </c>
      <c r="X15" s="1"/>
      <c r="Y15" s="4">
        <v>12</v>
      </c>
      <c r="Z15" s="4">
        <v>105</v>
      </c>
      <c r="AA15" s="111" t="s">
        <v>30</v>
      </c>
      <c r="AB15" s="1"/>
      <c r="AC15" s="4">
        <v>12</v>
      </c>
      <c r="AD15" s="4">
        <v>106</v>
      </c>
      <c r="AE15" s="120" t="s">
        <v>76</v>
      </c>
      <c r="AF15" s="1"/>
      <c r="AG15" s="4">
        <v>12</v>
      </c>
      <c r="AH15" s="4">
        <v>101</v>
      </c>
      <c r="AI15" s="130" t="s">
        <v>30</v>
      </c>
    </row>
    <row r="16" spans="1:35" x14ac:dyDescent="0.35">
      <c r="A16" s="4">
        <v>11</v>
      </c>
      <c r="B16" s="4">
        <v>101</v>
      </c>
      <c r="C16" s="49" t="s">
        <v>30</v>
      </c>
      <c r="D16" s="1"/>
      <c r="E16" s="4">
        <v>11</v>
      </c>
      <c r="F16" s="4">
        <v>101</v>
      </c>
      <c r="G16" s="61" t="s">
        <v>75</v>
      </c>
      <c r="H16" s="1"/>
      <c r="I16" s="4">
        <v>11</v>
      </c>
      <c r="J16" s="4">
        <v>103</v>
      </c>
      <c r="K16" s="71" t="s">
        <v>30</v>
      </c>
      <c r="L16" s="1"/>
      <c r="M16" s="4">
        <v>11</v>
      </c>
      <c r="N16" s="4">
        <v>101</v>
      </c>
      <c r="O16" s="81" t="s">
        <v>30</v>
      </c>
      <c r="P16" s="1"/>
      <c r="Q16" s="4">
        <v>11</v>
      </c>
      <c r="R16" s="4">
        <v>105</v>
      </c>
      <c r="S16" s="91" t="s">
        <v>30</v>
      </c>
      <c r="T16" s="1"/>
      <c r="U16" s="4">
        <v>11</v>
      </c>
      <c r="V16" s="4">
        <v>102</v>
      </c>
      <c r="W16" s="101" t="s">
        <v>30</v>
      </c>
      <c r="X16" s="1"/>
      <c r="Y16" s="4">
        <v>11</v>
      </c>
      <c r="Z16" s="4">
        <v>102</v>
      </c>
      <c r="AA16" s="111" t="s">
        <v>30</v>
      </c>
      <c r="AB16" s="1"/>
      <c r="AC16" s="4">
        <v>11</v>
      </c>
      <c r="AD16" s="4">
        <v>103</v>
      </c>
      <c r="AE16" s="121" t="s">
        <v>30</v>
      </c>
      <c r="AF16" s="1"/>
      <c r="AG16" s="4">
        <v>11</v>
      </c>
      <c r="AH16" s="4">
        <v>99</v>
      </c>
      <c r="AI16" s="131" t="s">
        <v>75</v>
      </c>
    </row>
    <row r="17" spans="1:35" x14ac:dyDescent="0.35">
      <c r="A17" s="4">
        <v>10</v>
      </c>
      <c r="B17" s="4">
        <v>98</v>
      </c>
      <c r="C17" s="49" t="s">
        <v>30</v>
      </c>
      <c r="D17" s="1"/>
      <c r="E17" s="4">
        <v>10</v>
      </c>
      <c r="F17" s="4">
        <v>98</v>
      </c>
      <c r="G17" s="61" t="s">
        <v>75</v>
      </c>
      <c r="H17" s="1"/>
      <c r="I17" s="4">
        <v>10</v>
      </c>
      <c r="J17" s="4">
        <v>100</v>
      </c>
      <c r="K17" s="71" t="s">
        <v>30</v>
      </c>
      <c r="L17" s="1"/>
      <c r="M17" s="4">
        <v>10</v>
      </c>
      <c r="N17" s="4">
        <v>98</v>
      </c>
      <c r="O17" s="82" t="s">
        <v>76</v>
      </c>
      <c r="P17" s="1"/>
      <c r="Q17" s="4">
        <v>10</v>
      </c>
      <c r="R17" s="4">
        <v>102</v>
      </c>
      <c r="S17" s="91" t="s">
        <v>30</v>
      </c>
      <c r="T17" s="1"/>
      <c r="U17" s="4">
        <v>10</v>
      </c>
      <c r="V17" s="4">
        <v>99</v>
      </c>
      <c r="W17" s="102" t="s">
        <v>75</v>
      </c>
      <c r="X17" s="1"/>
      <c r="Y17" s="4">
        <v>10</v>
      </c>
      <c r="Z17" s="4">
        <v>99</v>
      </c>
      <c r="AA17" s="111" t="s">
        <v>30</v>
      </c>
      <c r="AB17" s="1"/>
      <c r="AC17" s="4">
        <v>10</v>
      </c>
      <c r="AD17" s="4">
        <v>101</v>
      </c>
      <c r="AE17" s="121" t="s">
        <v>30</v>
      </c>
      <c r="AF17" s="1"/>
      <c r="AG17" s="4">
        <v>10</v>
      </c>
      <c r="AH17" s="4">
        <v>97</v>
      </c>
      <c r="AI17" s="131" t="s">
        <v>75</v>
      </c>
    </row>
    <row r="18" spans="1:35" x14ac:dyDescent="0.35">
      <c r="A18" s="4">
        <v>9</v>
      </c>
      <c r="B18" s="4">
        <v>95</v>
      </c>
      <c r="C18" s="50" t="s">
        <v>75</v>
      </c>
      <c r="D18" s="1"/>
      <c r="E18" s="4">
        <v>9</v>
      </c>
      <c r="F18" s="4">
        <v>95</v>
      </c>
      <c r="G18" s="62" t="s">
        <v>25</v>
      </c>
      <c r="H18" s="1"/>
      <c r="I18" s="4">
        <v>9</v>
      </c>
      <c r="J18" s="4">
        <v>97</v>
      </c>
      <c r="K18" s="71" t="s">
        <v>30</v>
      </c>
      <c r="L18" s="1"/>
      <c r="M18" s="4">
        <v>9</v>
      </c>
      <c r="N18" s="4">
        <v>96</v>
      </c>
      <c r="O18" s="82" t="s">
        <v>76</v>
      </c>
      <c r="P18" s="1"/>
      <c r="Q18" s="4">
        <v>9</v>
      </c>
      <c r="R18" s="4">
        <v>99</v>
      </c>
      <c r="S18" s="91" t="s">
        <v>30</v>
      </c>
      <c r="T18" s="1"/>
      <c r="U18" s="4">
        <v>9</v>
      </c>
      <c r="V18" s="4">
        <v>97</v>
      </c>
      <c r="W18" s="102" t="s">
        <v>75</v>
      </c>
      <c r="X18" s="1"/>
      <c r="Y18" s="4">
        <v>9</v>
      </c>
      <c r="Z18" s="4">
        <v>96</v>
      </c>
      <c r="AA18" s="112" t="s">
        <v>75</v>
      </c>
      <c r="AB18" s="1"/>
      <c r="AC18" s="4">
        <v>9</v>
      </c>
      <c r="AD18" s="4">
        <v>98</v>
      </c>
      <c r="AE18" s="121" t="s">
        <v>30</v>
      </c>
      <c r="AF18" s="1"/>
      <c r="AG18" s="4">
        <v>9</v>
      </c>
      <c r="AH18" s="4">
        <v>94</v>
      </c>
      <c r="AI18" s="131" t="s">
        <v>75</v>
      </c>
    </row>
    <row r="19" spans="1:35" x14ac:dyDescent="0.35">
      <c r="A19" s="4">
        <v>8</v>
      </c>
      <c r="B19" s="4">
        <v>92</v>
      </c>
      <c r="C19" s="50" t="s">
        <v>75</v>
      </c>
      <c r="D19" s="1"/>
      <c r="E19" s="4">
        <v>8</v>
      </c>
      <c r="F19" s="4">
        <v>91</v>
      </c>
      <c r="G19" s="62" t="s">
        <v>25</v>
      </c>
      <c r="H19" s="1"/>
      <c r="I19" s="4">
        <v>8</v>
      </c>
      <c r="J19" s="4">
        <v>95</v>
      </c>
      <c r="K19" s="71" t="s">
        <v>30</v>
      </c>
      <c r="L19" s="1"/>
      <c r="M19" s="4">
        <v>8</v>
      </c>
      <c r="N19" s="4">
        <v>93</v>
      </c>
      <c r="O19" s="82" t="s">
        <v>76</v>
      </c>
      <c r="P19" s="1"/>
      <c r="Q19" s="4">
        <v>8</v>
      </c>
      <c r="R19" s="4">
        <v>96</v>
      </c>
      <c r="S19" s="91" t="s">
        <v>30</v>
      </c>
      <c r="T19" s="1"/>
      <c r="U19" s="4">
        <v>8</v>
      </c>
      <c r="V19" s="4">
        <v>95</v>
      </c>
      <c r="W19" s="102" t="s">
        <v>75</v>
      </c>
      <c r="X19" s="1"/>
      <c r="Y19" s="4">
        <v>8</v>
      </c>
      <c r="Z19" s="4">
        <v>94</v>
      </c>
      <c r="AA19" s="112" t="s">
        <v>75</v>
      </c>
      <c r="AB19" s="1"/>
      <c r="AC19" s="4">
        <v>8</v>
      </c>
      <c r="AD19" s="4">
        <v>95</v>
      </c>
      <c r="AE19" s="122" t="s">
        <v>75</v>
      </c>
      <c r="AF19" s="1"/>
      <c r="AG19" s="4">
        <v>8</v>
      </c>
      <c r="AH19" s="4">
        <v>92</v>
      </c>
      <c r="AI19" s="131" t="s">
        <v>75</v>
      </c>
    </row>
    <row r="20" spans="1:35" x14ac:dyDescent="0.35">
      <c r="A20" s="4">
        <v>7</v>
      </c>
      <c r="B20" s="4">
        <v>89</v>
      </c>
      <c r="C20" s="50" t="s">
        <v>75</v>
      </c>
      <c r="D20" s="1"/>
      <c r="E20" s="4">
        <v>7</v>
      </c>
      <c r="F20" s="4">
        <v>88</v>
      </c>
      <c r="G20" s="62" t="s">
        <v>25</v>
      </c>
      <c r="H20" s="1"/>
      <c r="I20" s="4">
        <v>7</v>
      </c>
      <c r="J20" s="4">
        <v>92</v>
      </c>
      <c r="K20" s="72" t="s">
        <v>75</v>
      </c>
      <c r="L20" s="1"/>
      <c r="M20" s="4">
        <v>7</v>
      </c>
      <c r="N20" s="4">
        <v>91</v>
      </c>
      <c r="O20" s="83" t="s">
        <v>25</v>
      </c>
      <c r="P20" s="1"/>
      <c r="Q20" s="4">
        <v>7</v>
      </c>
      <c r="R20" s="4">
        <v>94</v>
      </c>
      <c r="S20" s="92" t="s">
        <v>76</v>
      </c>
      <c r="T20" s="1"/>
      <c r="U20" s="4">
        <v>7</v>
      </c>
      <c r="V20" s="4">
        <v>92</v>
      </c>
      <c r="W20" s="102" t="s">
        <v>75</v>
      </c>
      <c r="X20" s="1"/>
      <c r="Y20" s="4">
        <v>7</v>
      </c>
      <c r="Z20" s="4">
        <v>91</v>
      </c>
      <c r="AA20" s="112" t="s">
        <v>75</v>
      </c>
      <c r="AB20" s="1"/>
      <c r="AC20" s="4">
        <v>7</v>
      </c>
      <c r="AD20" s="4">
        <v>92</v>
      </c>
      <c r="AE20" s="122" t="s">
        <v>75</v>
      </c>
      <c r="AF20" s="1"/>
      <c r="AG20" s="4">
        <v>7</v>
      </c>
      <c r="AH20" s="4">
        <v>90</v>
      </c>
      <c r="AI20" s="132" t="s">
        <v>25</v>
      </c>
    </row>
    <row r="21" spans="1:35" x14ac:dyDescent="0.35">
      <c r="A21" s="4">
        <v>6</v>
      </c>
      <c r="B21" s="4">
        <v>87</v>
      </c>
      <c r="C21" s="51" t="s">
        <v>25</v>
      </c>
      <c r="D21" s="1"/>
      <c r="E21" s="4">
        <v>6</v>
      </c>
      <c r="F21" s="4">
        <v>85</v>
      </c>
      <c r="G21" s="62" t="s">
        <v>25</v>
      </c>
      <c r="H21" s="1"/>
      <c r="I21" s="4">
        <v>6</v>
      </c>
      <c r="J21" s="4">
        <v>90</v>
      </c>
      <c r="K21" s="72" t="s">
        <v>75</v>
      </c>
      <c r="L21" s="1"/>
      <c r="M21" s="4">
        <v>6</v>
      </c>
      <c r="N21" s="4">
        <v>88</v>
      </c>
      <c r="O21" s="83" t="s">
        <v>25</v>
      </c>
      <c r="P21" s="1"/>
      <c r="Q21" s="4">
        <v>6</v>
      </c>
      <c r="R21" s="4">
        <v>91</v>
      </c>
      <c r="S21" s="92" t="s">
        <v>76</v>
      </c>
      <c r="T21" s="1"/>
      <c r="U21" s="4">
        <v>6</v>
      </c>
      <c r="V21" s="4">
        <v>90</v>
      </c>
      <c r="W21" s="102" t="s">
        <v>75</v>
      </c>
      <c r="X21" s="1"/>
      <c r="Y21" s="4">
        <v>6</v>
      </c>
      <c r="Z21" s="4">
        <v>88</v>
      </c>
      <c r="AA21" s="113" t="s">
        <v>25</v>
      </c>
      <c r="AB21" s="1"/>
      <c r="AC21" s="4">
        <v>6</v>
      </c>
      <c r="AD21" s="4">
        <v>89</v>
      </c>
      <c r="AE21" s="122" t="s">
        <v>75</v>
      </c>
      <c r="AF21" s="1"/>
      <c r="AG21" s="4">
        <v>6</v>
      </c>
      <c r="AH21" s="4">
        <v>88</v>
      </c>
      <c r="AI21" s="132" t="s">
        <v>25</v>
      </c>
    </row>
    <row r="22" spans="1:35" x14ac:dyDescent="0.35">
      <c r="A22" s="4">
        <v>5</v>
      </c>
      <c r="B22" s="4">
        <v>84</v>
      </c>
      <c r="C22" s="51" t="s">
        <v>25</v>
      </c>
      <c r="D22" s="1"/>
      <c r="E22" s="4">
        <v>5</v>
      </c>
      <c r="F22" s="4">
        <v>81</v>
      </c>
      <c r="G22" s="62" t="s">
        <v>25</v>
      </c>
      <c r="H22" s="1"/>
      <c r="I22" s="4">
        <v>5</v>
      </c>
      <c r="J22" s="4">
        <v>87</v>
      </c>
      <c r="K22" s="72" t="s">
        <v>75</v>
      </c>
      <c r="L22" s="1"/>
      <c r="M22" s="4">
        <v>5</v>
      </c>
      <c r="N22" s="4">
        <v>86</v>
      </c>
      <c r="O22" s="83" t="s">
        <v>25</v>
      </c>
      <c r="P22" s="1"/>
      <c r="Q22" s="4">
        <v>5</v>
      </c>
      <c r="R22" s="4">
        <v>88</v>
      </c>
      <c r="S22" s="92" t="s">
        <v>76</v>
      </c>
      <c r="T22" s="1"/>
      <c r="U22" s="4">
        <v>5</v>
      </c>
      <c r="V22" s="4">
        <v>88</v>
      </c>
      <c r="W22" s="103" t="s">
        <v>25</v>
      </c>
      <c r="X22" s="1"/>
      <c r="Y22" s="4">
        <v>5</v>
      </c>
      <c r="Z22" s="4">
        <v>86</v>
      </c>
      <c r="AA22" s="113" t="s">
        <v>25</v>
      </c>
      <c r="AB22" s="1"/>
      <c r="AC22" s="4">
        <v>5</v>
      </c>
      <c r="AD22" s="4">
        <v>86</v>
      </c>
      <c r="AE22" s="122" t="s">
        <v>75</v>
      </c>
      <c r="AF22" s="1"/>
      <c r="AG22" s="4">
        <v>5</v>
      </c>
      <c r="AH22" s="4">
        <v>86</v>
      </c>
      <c r="AI22" s="132" t="s">
        <v>25</v>
      </c>
    </row>
    <row r="23" spans="1:35" x14ac:dyDescent="0.35">
      <c r="A23" s="4">
        <v>4</v>
      </c>
      <c r="B23" s="4">
        <v>81</v>
      </c>
      <c r="C23" s="51" t="s">
        <v>25</v>
      </c>
      <c r="D23" s="1"/>
      <c r="E23" s="4">
        <v>4</v>
      </c>
      <c r="F23" s="4">
        <v>78</v>
      </c>
      <c r="G23" s="62" t="s">
        <v>25</v>
      </c>
      <c r="H23" s="1"/>
      <c r="I23" s="4">
        <v>4</v>
      </c>
      <c r="J23" s="4">
        <v>85</v>
      </c>
      <c r="K23" s="73" t="s">
        <v>25</v>
      </c>
      <c r="L23" s="1"/>
      <c r="M23" s="4">
        <v>4</v>
      </c>
      <c r="N23" s="4">
        <v>83</v>
      </c>
      <c r="O23" s="83" t="s">
        <v>25</v>
      </c>
      <c r="P23" s="1"/>
      <c r="Q23" s="4">
        <v>4</v>
      </c>
      <c r="R23" s="4">
        <v>85</v>
      </c>
      <c r="S23" s="93" t="s">
        <v>25</v>
      </c>
      <c r="T23" s="1"/>
      <c r="U23" s="4">
        <v>4</v>
      </c>
      <c r="V23" s="4">
        <v>85</v>
      </c>
      <c r="W23" s="103" t="s">
        <v>25</v>
      </c>
      <c r="X23" s="1"/>
      <c r="Y23" s="4">
        <v>4</v>
      </c>
      <c r="Z23" s="4">
        <v>83</v>
      </c>
      <c r="AA23" s="113" t="s">
        <v>25</v>
      </c>
      <c r="AB23" s="1"/>
      <c r="AC23" s="4">
        <v>4</v>
      </c>
      <c r="AD23" s="4">
        <v>83</v>
      </c>
      <c r="AE23" s="123" t="s">
        <v>25</v>
      </c>
      <c r="AF23" s="1"/>
      <c r="AG23" s="4">
        <v>4</v>
      </c>
      <c r="AH23" s="4">
        <v>83</v>
      </c>
      <c r="AI23" s="132" t="s">
        <v>25</v>
      </c>
    </row>
    <row r="24" spans="1:35" x14ac:dyDescent="0.35">
      <c r="A24" s="4">
        <v>3</v>
      </c>
      <c r="B24" s="4">
        <v>78</v>
      </c>
      <c r="C24" s="51" t="s">
        <v>25</v>
      </c>
      <c r="D24" s="1"/>
      <c r="E24" s="4">
        <v>3</v>
      </c>
      <c r="F24" s="4">
        <v>75</v>
      </c>
      <c r="G24" s="62" t="s">
        <v>25</v>
      </c>
      <c r="H24" s="1"/>
      <c r="I24" s="4">
        <v>3</v>
      </c>
      <c r="J24" s="4">
        <v>82</v>
      </c>
      <c r="K24" s="73" t="s">
        <v>25</v>
      </c>
      <c r="L24" s="1"/>
      <c r="M24" s="4">
        <v>3</v>
      </c>
      <c r="N24" s="4">
        <v>81</v>
      </c>
      <c r="O24" s="83" t="s">
        <v>25</v>
      </c>
      <c r="P24" s="1"/>
      <c r="Q24" s="4">
        <v>3</v>
      </c>
      <c r="R24" s="4">
        <v>83</v>
      </c>
      <c r="S24" s="93" t="s">
        <v>25</v>
      </c>
      <c r="T24" s="1"/>
      <c r="U24" s="4">
        <v>3</v>
      </c>
      <c r="V24" s="4">
        <v>83</v>
      </c>
      <c r="W24" s="103" t="s">
        <v>25</v>
      </c>
      <c r="X24" s="1"/>
      <c r="Y24" s="4">
        <v>3</v>
      </c>
      <c r="Z24" s="4">
        <v>80</v>
      </c>
      <c r="AA24" s="113" t="s">
        <v>25</v>
      </c>
      <c r="AB24" s="1"/>
      <c r="AC24" s="4">
        <v>3</v>
      </c>
      <c r="AD24" s="4">
        <v>81</v>
      </c>
      <c r="AE24" s="123" t="s">
        <v>25</v>
      </c>
      <c r="AF24" s="1"/>
      <c r="AG24" s="4">
        <v>3</v>
      </c>
      <c r="AH24" s="4">
        <v>81</v>
      </c>
      <c r="AI24" s="132" t="s">
        <v>25</v>
      </c>
    </row>
    <row r="25" spans="1:35" x14ac:dyDescent="0.35">
      <c r="A25" s="4">
        <v>2</v>
      </c>
      <c r="B25" s="4">
        <v>76</v>
      </c>
      <c r="C25" s="51" t="s">
        <v>25</v>
      </c>
      <c r="D25" s="1"/>
      <c r="E25" s="4">
        <v>2</v>
      </c>
      <c r="F25" s="4">
        <v>71</v>
      </c>
      <c r="G25" s="62" t="s">
        <v>25</v>
      </c>
      <c r="H25" s="1"/>
      <c r="I25" s="4">
        <v>2</v>
      </c>
      <c r="J25" s="4">
        <v>79</v>
      </c>
      <c r="K25" s="73" t="s">
        <v>25</v>
      </c>
      <c r="L25" s="1"/>
      <c r="M25" s="4">
        <v>2</v>
      </c>
      <c r="N25" s="4">
        <v>78</v>
      </c>
      <c r="O25" s="83" t="s">
        <v>25</v>
      </c>
      <c r="P25" s="1"/>
      <c r="Q25" s="4">
        <v>2</v>
      </c>
      <c r="R25" s="4">
        <v>80</v>
      </c>
      <c r="S25" s="93" t="s">
        <v>25</v>
      </c>
      <c r="T25" s="1"/>
      <c r="U25" s="4">
        <v>2</v>
      </c>
      <c r="V25" s="4">
        <v>81</v>
      </c>
      <c r="W25" s="103" t="s">
        <v>25</v>
      </c>
      <c r="X25" s="1"/>
      <c r="Y25" s="4">
        <v>2</v>
      </c>
      <c r="Z25" s="4">
        <v>78</v>
      </c>
      <c r="AA25" s="113" t="s">
        <v>25</v>
      </c>
      <c r="AB25" s="1"/>
      <c r="AC25" s="4">
        <v>2</v>
      </c>
      <c r="AD25" s="4">
        <v>78</v>
      </c>
      <c r="AE25" s="123" t="s">
        <v>25</v>
      </c>
      <c r="AF25" s="1"/>
      <c r="AG25" s="4">
        <v>2</v>
      </c>
      <c r="AH25" s="4">
        <v>79</v>
      </c>
      <c r="AI25" s="132" t="s">
        <v>25</v>
      </c>
    </row>
    <row r="26" spans="1:35" x14ac:dyDescent="0.35">
      <c r="A26" s="4">
        <v>1</v>
      </c>
      <c r="B26" s="4">
        <v>73</v>
      </c>
      <c r="C26" s="51" t="s">
        <v>25</v>
      </c>
      <c r="D26" s="1"/>
      <c r="E26" s="4">
        <v>1</v>
      </c>
      <c r="F26" s="4">
        <v>68</v>
      </c>
      <c r="G26" s="62" t="s">
        <v>25</v>
      </c>
      <c r="H26" s="1"/>
      <c r="I26" s="4">
        <v>1</v>
      </c>
      <c r="J26" s="8">
        <v>77</v>
      </c>
      <c r="K26" s="73" t="s">
        <v>25</v>
      </c>
      <c r="L26" s="1"/>
      <c r="M26" s="4">
        <v>1</v>
      </c>
      <c r="N26" s="4">
        <v>75</v>
      </c>
      <c r="O26" s="83" t="s">
        <v>25</v>
      </c>
      <c r="P26" s="1"/>
      <c r="Q26" s="4">
        <v>1</v>
      </c>
      <c r="R26" s="4">
        <v>77</v>
      </c>
      <c r="S26" s="93" t="s">
        <v>25</v>
      </c>
      <c r="T26" s="1"/>
      <c r="U26" s="4">
        <v>1</v>
      </c>
      <c r="V26" s="4">
        <v>78</v>
      </c>
      <c r="W26" s="103" t="s">
        <v>25</v>
      </c>
      <c r="X26" s="1"/>
      <c r="Y26" s="4">
        <v>1</v>
      </c>
      <c r="Z26" s="4">
        <v>75</v>
      </c>
      <c r="AA26" s="113" t="s">
        <v>25</v>
      </c>
      <c r="AB26" s="1"/>
      <c r="AC26" s="4">
        <v>1</v>
      </c>
      <c r="AD26" s="4">
        <v>75</v>
      </c>
      <c r="AE26" s="123" t="s">
        <v>25</v>
      </c>
      <c r="AF26" s="1"/>
      <c r="AG26" s="4">
        <v>1</v>
      </c>
      <c r="AH26" s="4">
        <v>77</v>
      </c>
      <c r="AI26" s="132" t="s">
        <v>25</v>
      </c>
    </row>
    <row r="27" spans="1:35" x14ac:dyDescent="0.35">
      <c r="A27" s="4">
        <v>0</v>
      </c>
      <c r="B27" s="9">
        <v>70</v>
      </c>
      <c r="C27" s="51" t="s">
        <v>25</v>
      </c>
      <c r="D27" s="1"/>
      <c r="E27" s="4">
        <v>0</v>
      </c>
      <c r="F27" s="4">
        <v>65</v>
      </c>
      <c r="G27" s="62" t="s">
        <v>25</v>
      </c>
      <c r="H27" s="1"/>
      <c r="I27" s="4">
        <v>0</v>
      </c>
      <c r="J27" s="8">
        <v>74</v>
      </c>
      <c r="K27" s="73" t="s">
        <v>25</v>
      </c>
      <c r="L27" s="1"/>
      <c r="M27" s="4">
        <v>0</v>
      </c>
      <c r="N27" s="4">
        <v>73</v>
      </c>
      <c r="O27" s="83" t="s">
        <v>25</v>
      </c>
      <c r="P27" s="1"/>
      <c r="Q27" s="4">
        <v>0</v>
      </c>
      <c r="R27" s="4">
        <v>74</v>
      </c>
      <c r="S27" s="93" t="s">
        <v>25</v>
      </c>
      <c r="T27" s="1"/>
      <c r="U27" s="4">
        <v>0</v>
      </c>
      <c r="V27" s="4">
        <v>76</v>
      </c>
      <c r="W27" s="103" t="s">
        <v>25</v>
      </c>
      <c r="X27" s="1"/>
      <c r="Y27" s="4">
        <v>0</v>
      </c>
      <c r="Z27" s="4">
        <v>72</v>
      </c>
      <c r="AA27" s="113" t="s">
        <v>25</v>
      </c>
      <c r="AB27" s="1"/>
      <c r="AC27" s="4">
        <v>0</v>
      </c>
      <c r="AD27" s="8">
        <v>72</v>
      </c>
      <c r="AE27" s="123" t="s">
        <v>25</v>
      </c>
      <c r="AF27" s="1"/>
      <c r="AG27" s="4">
        <v>0</v>
      </c>
      <c r="AH27" s="4">
        <v>74</v>
      </c>
      <c r="AI27" s="132" t="s">
        <v>25</v>
      </c>
    </row>
    <row r="30" spans="1:35" ht="15" customHeight="1" x14ac:dyDescent="0.35"/>
    <row r="31" spans="1:35" ht="15" customHeight="1" x14ac:dyDescent="0.35">
      <c r="A31" s="333" t="s">
        <v>55</v>
      </c>
      <c r="B31" s="334"/>
      <c r="C31" t="str">
        <f>IF(AND(IST!$N2 &gt;= 21,IST!$N2 &lt;= 25),"True","")</f>
        <v/>
      </c>
    </row>
    <row r="32" spans="1:35" x14ac:dyDescent="0.35">
      <c r="A32" s="335" t="s">
        <v>41</v>
      </c>
      <c r="B32" s="336"/>
      <c r="C32" s="337"/>
      <c r="D32" s="1"/>
      <c r="E32" s="330" t="s">
        <v>42</v>
      </c>
      <c r="F32" s="331"/>
      <c r="G32" s="332"/>
      <c r="H32" s="1"/>
      <c r="I32" s="330" t="s">
        <v>43</v>
      </c>
      <c r="J32" s="331"/>
      <c r="K32" s="332"/>
      <c r="L32" s="5"/>
      <c r="M32" s="331" t="s">
        <v>44</v>
      </c>
      <c r="N32" s="331"/>
      <c r="O32" s="332"/>
      <c r="P32" s="1"/>
      <c r="Q32" s="330" t="s">
        <v>45</v>
      </c>
      <c r="R32" s="331"/>
      <c r="S32" s="332"/>
      <c r="T32" s="1"/>
      <c r="U32" s="330" t="s">
        <v>46</v>
      </c>
      <c r="V32" s="331"/>
      <c r="W32" s="332"/>
      <c r="X32" s="1"/>
      <c r="Y32" s="330" t="s">
        <v>47</v>
      </c>
      <c r="Z32" s="331"/>
      <c r="AA32" s="332"/>
      <c r="AB32" s="1"/>
      <c r="AC32" s="330" t="s">
        <v>48</v>
      </c>
      <c r="AD32" s="331"/>
      <c r="AE32" s="332"/>
      <c r="AF32" s="1"/>
      <c r="AG32" s="330" t="s">
        <v>49</v>
      </c>
      <c r="AH32" s="331"/>
      <c r="AI32" s="332"/>
    </row>
    <row r="33" spans="1:35" x14ac:dyDescent="0.35">
      <c r="A33" s="6" t="s">
        <v>50</v>
      </c>
      <c r="B33" s="4" t="s">
        <v>51</v>
      </c>
      <c r="C33" s="4" t="s">
        <v>52</v>
      </c>
      <c r="D33" s="1"/>
      <c r="E33" s="6" t="s">
        <v>50</v>
      </c>
      <c r="F33" s="4" t="s">
        <v>51</v>
      </c>
      <c r="G33" s="4" t="s">
        <v>52</v>
      </c>
      <c r="H33" s="1"/>
      <c r="I33" s="4" t="s">
        <v>50</v>
      </c>
      <c r="J33" s="4" t="s">
        <v>51</v>
      </c>
      <c r="K33" s="4" t="s">
        <v>52</v>
      </c>
      <c r="L33" s="2"/>
      <c r="M33" s="6" t="s">
        <v>50</v>
      </c>
      <c r="N33" s="4" t="s">
        <v>51</v>
      </c>
      <c r="O33" s="4" t="s">
        <v>52</v>
      </c>
      <c r="P33" s="1"/>
      <c r="Q33" s="6" t="s">
        <v>50</v>
      </c>
      <c r="R33" s="4" t="s">
        <v>51</v>
      </c>
      <c r="S33" s="4" t="s">
        <v>52</v>
      </c>
      <c r="T33" s="1"/>
      <c r="U33" s="6" t="s">
        <v>50</v>
      </c>
      <c r="V33" s="4" t="s">
        <v>51</v>
      </c>
      <c r="W33" s="4" t="s">
        <v>52</v>
      </c>
      <c r="X33" s="1"/>
      <c r="Y33" s="6" t="s">
        <v>50</v>
      </c>
      <c r="Z33" s="4" t="s">
        <v>51</v>
      </c>
      <c r="AA33" s="4" t="s">
        <v>52</v>
      </c>
      <c r="AB33" s="1"/>
      <c r="AC33" s="6" t="s">
        <v>50</v>
      </c>
      <c r="AD33" s="4" t="s">
        <v>51</v>
      </c>
      <c r="AE33" s="4" t="s">
        <v>52</v>
      </c>
      <c r="AF33" s="1"/>
      <c r="AG33" s="6" t="s">
        <v>50</v>
      </c>
      <c r="AH33" s="4" t="s">
        <v>51</v>
      </c>
      <c r="AI33" s="4" t="s">
        <v>52</v>
      </c>
    </row>
    <row r="34" spans="1:35" x14ac:dyDescent="0.35">
      <c r="A34" s="6">
        <v>99</v>
      </c>
      <c r="B34" s="4">
        <v>999</v>
      </c>
      <c r="C34" s="7" t="s">
        <v>27</v>
      </c>
      <c r="D34" s="1"/>
      <c r="E34" s="6">
        <v>99</v>
      </c>
      <c r="F34" s="4">
        <v>999</v>
      </c>
      <c r="G34" s="7" t="s">
        <v>27</v>
      </c>
      <c r="H34" s="1"/>
      <c r="I34" s="4">
        <v>99</v>
      </c>
      <c r="J34" s="4">
        <v>999</v>
      </c>
      <c r="K34" s="7" t="s">
        <v>27</v>
      </c>
      <c r="L34" s="2"/>
      <c r="M34" s="6">
        <v>99</v>
      </c>
      <c r="N34" s="4">
        <v>999</v>
      </c>
      <c r="O34" s="4" t="s">
        <v>27</v>
      </c>
      <c r="P34" s="1"/>
      <c r="Q34" s="6">
        <v>99</v>
      </c>
      <c r="R34" s="4">
        <v>99</v>
      </c>
      <c r="S34" s="7" t="s">
        <v>27</v>
      </c>
      <c r="T34" s="1"/>
      <c r="U34" s="6">
        <v>99</v>
      </c>
      <c r="V34" s="4">
        <v>999</v>
      </c>
      <c r="W34" s="4" t="s">
        <v>27</v>
      </c>
      <c r="X34" s="1"/>
      <c r="Y34" s="6">
        <v>99</v>
      </c>
      <c r="Z34" s="4">
        <v>999</v>
      </c>
      <c r="AA34" s="4" t="s">
        <v>27</v>
      </c>
      <c r="AB34" s="1"/>
      <c r="AC34" s="6">
        <v>99</v>
      </c>
      <c r="AD34" s="4">
        <v>999</v>
      </c>
      <c r="AE34" s="7" t="s">
        <v>27</v>
      </c>
      <c r="AF34" s="1"/>
      <c r="AG34" s="6">
        <v>99</v>
      </c>
      <c r="AH34" s="4">
        <v>999</v>
      </c>
      <c r="AI34" s="4" t="s">
        <v>27</v>
      </c>
    </row>
    <row r="35" spans="1:35" x14ac:dyDescent="0.35">
      <c r="A35" s="4">
        <v>20</v>
      </c>
      <c r="B35" s="4">
        <v>126</v>
      </c>
      <c r="C35" s="52" t="s">
        <v>27</v>
      </c>
      <c r="D35" s="1"/>
      <c r="E35" s="4">
        <v>20</v>
      </c>
      <c r="F35" s="4" t="s">
        <v>56</v>
      </c>
      <c r="G35" s="63" t="s">
        <v>27</v>
      </c>
      <c r="H35" s="1"/>
      <c r="I35" s="4">
        <v>20</v>
      </c>
      <c r="J35" s="4" t="s">
        <v>57</v>
      </c>
      <c r="K35" s="74" t="s">
        <v>27</v>
      </c>
      <c r="L35" s="1"/>
      <c r="M35" s="4">
        <v>20</v>
      </c>
      <c r="N35" s="4" t="s">
        <v>58</v>
      </c>
      <c r="O35" s="84" t="s">
        <v>27</v>
      </c>
      <c r="P35" s="1"/>
      <c r="Q35" s="4">
        <v>20</v>
      </c>
      <c r="R35" s="4" t="s">
        <v>59</v>
      </c>
      <c r="S35" s="94" t="s">
        <v>27</v>
      </c>
      <c r="T35" s="1"/>
      <c r="U35" s="4">
        <v>20</v>
      </c>
      <c r="V35" s="4" t="s">
        <v>60</v>
      </c>
      <c r="W35" s="104" t="s">
        <v>27</v>
      </c>
      <c r="X35" s="1"/>
      <c r="Y35" s="4">
        <v>20</v>
      </c>
      <c r="Z35" s="4" t="s">
        <v>61</v>
      </c>
      <c r="AA35" s="114" t="s">
        <v>27</v>
      </c>
      <c r="AB35" s="1"/>
      <c r="AC35" s="4">
        <v>20</v>
      </c>
      <c r="AD35" s="4" t="s">
        <v>54</v>
      </c>
      <c r="AE35" s="124" t="s">
        <v>27</v>
      </c>
      <c r="AF35" s="1"/>
      <c r="AG35" s="4">
        <v>20</v>
      </c>
      <c r="AH35" s="4" t="s">
        <v>62</v>
      </c>
      <c r="AI35" s="133" t="s">
        <v>27</v>
      </c>
    </row>
    <row r="36" spans="1:35" x14ac:dyDescent="0.35">
      <c r="A36" s="4">
        <v>19</v>
      </c>
      <c r="B36" s="4">
        <v>124</v>
      </c>
      <c r="C36" s="52" t="s">
        <v>27</v>
      </c>
      <c r="D36" s="1"/>
      <c r="E36" s="4">
        <v>19</v>
      </c>
      <c r="F36" s="4">
        <v>131</v>
      </c>
      <c r="G36" s="64" t="s">
        <v>27</v>
      </c>
      <c r="H36" s="1"/>
      <c r="I36" s="4">
        <v>19</v>
      </c>
      <c r="J36" s="4">
        <v>123</v>
      </c>
      <c r="K36" s="74" t="s">
        <v>27</v>
      </c>
      <c r="L36" s="1"/>
      <c r="M36" s="4">
        <v>19</v>
      </c>
      <c r="N36" s="4">
        <v>122</v>
      </c>
      <c r="O36" s="84" t="s">
        <v>27</v>
      </c>
      <c r="P36" s="1"/>
      <c r="Q36" s="4">
        <v>19</v>
      </c>
      <c r="R36" s="4">
        <v>128</v>
      </c>
      <c r="S36" s="94" t="s">
        <v>27</v>
      </c>
      <c r="T36" s="1"/>
      <c r="U36" s="4">
        <v>19</v>
      </c>
      <c r="V36" s="4">
        <v>122</v>
      </c>
      <c r="W36" s="105" t="s">
        <v>76</v>
      </c>
      <c r="X36" s="1"/>
      <c r="Y36" s="4">
        <v>19</v>
      </c>
      <c r="Z36" s="4">
        <v>124</v>
      </c>
      <c r="AA36" s="114" t="s">
        <v>27</v>
      </c>
      <c r="AB36" s="1"/>
      <c r="AC36" s="4">
        <v>19</v>
      </c>
      <c r="AD36" s="4">
        <v>126</v>
      </c>
      <c r="AE36" s="124" t="s">
        <v>27</v>
      </c>
      <c r="AF36" s="1"/>
      <c r="AG36" s="4">
        <v>19</v>
      </c>
      <c r="AH36" s="4">
        <v>119</v>
      </c>
      <c r="AI36" s="134" t="s">
        <v>76</v>
      </c>
    </row>
    <row r="37" spans="1:35" x14ac:dyDescent="0.35">
      <c r="A37" s="4">
        <v>18</v>
      </c>
      <c r="B37" s="4">
        <v>121</v>
      </c>
      <c r="C37" s="52" t="s">
        <v>27</v>
      </c>
      <c r="D37" s="1"/>
      <c r="E37" s="4">
        <v>18</v>
      </c>
      <c r="F37" s="4">
        <v>127</v>
      </c>
      <c r="G37" s="64" t="s">
        <v>27</v>
      </c>
      <c r="H37" s="1"/>
      <c r="I37" s="4">
        <v>18</v>
      </c>
      <c r="J37" s="4">
        <v>121</v>
      </c>
      <c r="K37" s="74" t="s">
        <v>27</v>
      </c>
      <c r="L37" s="1"/>
      <c r="M37" s="4">
        <v>18</v>
      </c>
      <c r="N37" s="4">
        <v>119</v>
      </c>
      <c r="O37" s="84" t="s">
        <v>27</v>
      </c>
      <c r="P37" s="1"/>
      <c r="Q37" s="4">
        <v>18</v>
      </c>
      <c r="R37" s="4">
        <v>125</v>
      </c>
      <c r="S37" s="94" t="s">
        <v>27</v>
      </c>
      <c r="T37" s="1"/>
      <c r="U37" s="4">
        <v>18</v>
      </c>
      <c r="V37" s="4">
        <v>120</v>
      </c>
      <c r="W37" s="105" t="s">
        <v>76</v>
      </c>
      <c r="X37" s="1"/>
      <c r="Y37" s="4">
        <v>18</v>
      </c>
      <c r="Z37" s="4">
        <v>121</v>
      </c>
      <c r="AA37" s="114" t="s">
        <v>27</v>
      </c>
      <c r="AB37" s="1"/>
      <c r="AC37" s="4">
        <v>18</v>
      </c>
      <c r="AD37" s="4">
        <v>123</v>
      </c>
      <c r="AE37" s="124" t="s">
        <v>27</v>
      </c>
      <c r="AF37" s="1"/>
      <c r="AG37" s="4">
        <v>18</v>
      </c>
      <c r="AH37" s="4">
        <v>117</v>
      </c>
      <c r="AI37" s="134" t="s">
        <v>76</v>
      </c>
    </row>
    <row r="38" spans="1:35" x14ac:dyDescent="0.35">
      <c r="A38" s="4">
        <v>17</v>
      </c>
      <c r="B38" s="4">
        <v>118</v>
      </c>
      <c r="C38" s="52" t="s">
        <v>27</v>
      </c>
      <c r="D38" s="1"/>
      <c r="E38" s="4">
        <v>17</v>
      </c>
      <c r="F38" s="4">
        <v>124</v>
      </c>
      <c r="G38" s="65" t="s">
        <v>76</v>
      </c>
      <c r="H38" s="1"/>
      <c r="I38" s="4">
        <v>17</v>
      </c>
      <c r="J38" s="4">
        <v>118</v>
      </c>
      <c r="K38" s="74" t="s">
        <v>27</v>
      </c>
      <c r="L38" s="1"/>
      <c r="M38" s="4">
        <v>17</v>
      </c>
      <c r="N38" s="4">
        <v>117</v>
      </c>
      <c r="O38" s="84" t="s">
        <v>27</v>
      </c>
      <c r="P38" s="1"/>
      <c r="Q38" s="4">
        <v>17</v>
      </c>
      <c r="R38" s="4">
        <v>122</v>
      </c>
      <c r="S38" s="94" t="s">
        <v>27</v>
      </c>
      <c r="T38" s="1"/>
      <c r="U38" s="4">
        <v>17</v>
      </c>
      <c r="V38" s="4">
        <v>118</v>
      </c>
      <c r="W38" s="105" t="s">
        <v>76</v>
      </c>
      <c r="X38" s="1"/>
      <c r="Y38" s="4">
        <v>17</v>
      </c>
      <c r="Z38" s="4">
        <v>119</v>
      </c>
      <c r="AA38" s="114" t="s">
        <v>27</v>
      </c>
      <c r="AB38" s="1"/>
      <c r="AC38" s="4">
        <v>17</v>
      </c>
      <c r="AD38" s="4">
        <v>120</v>
      </c>
      <c r="AE38" s="124" t="s">
        <v>27</v>
      </c>
      <c r="AF38" s="1"/>
      <c r="AG38" s="4">
        <v>17</v>
      </c>
      <c r="AH38" s="4">
        <v>115</v>
      </c>
      <c r="AI38" s="134" t="s">
        <v>76</v>
      </c>
    </row>
    <row r="39" spans="1:35" x14ac:dyDescent="0.35">
      <c r="A39" s="4">
        <v>16</v>
      </c>
      <c r="B39" s="4">
        <v>115</v>
      </c>
      <c r="C39" s="52" t="s">
        <v>27</v>
      </c>
      <c r="D39" s="1"/>
      <c r="E39" s="4">
        <v>16</v>
      </c>
      <c r="F39" s="4">
        <v>120</v>
      </c>
      <c r="G39" s="65" t="s">
        <v>76</v>
      </c>
      <c r="H39" s="1"/>
      <c r="I39" s="4">
        <v>16</v>
      </c>
      <c r="J39" s="4">
        <v>116</v>
      </c>
      <c r="K39" s="74" t="s">
        <v>27</v>
      </c>
      <c r="L39" s="1"/>
      <c r="M39" s="4">
        <v>16</v>
      </c>
      <c r="N39" s="4">
        <v>114</v>
      </c>
      <c r="O39" s="84" t="s">
        <v>27</v>
      </c>
      <c r="P39" s="1"/>
      <c r="Q39" s="4">
        <v>16</v>
      </c>
      <c r="R39" s="4">
        <v>119</v>
      </c>
      <c r="S39" s="94" t="s">
        <v>27</v>
      </c>
      <c r="T39" s="1"/>
      <c r="U39" s="4">
        <v>16</v>
      </c>
      <c r="V39" s="4">
        <v>115</v>
      </c>
      <c r="W39" s="105" t="s">
        <v>76</v>
      </c>
      <c r="X39" s="1"/>
      <c r="Y39" s="4">
        <v>16</v>
      </c>
      <c r="Z39" s="4">
        <v>116</v>
      </c>
      <c r="AA39" s="115" t="s">
        <v>76</v>
      </c>
      <c r="AB39" s="1"/>
      <c r="AC39" s="4">
        <v>16</v>
      </c>
      <c r="AD39" s="4">
        <v>117</v>
      </c>
      <c r="AE39" s="124" t="s">
        <v>27</v>
      </c>
      <c r="AF39" s="1"/>
      <c r="AG39" s="4">
        <v>16</v>
      </c>
      <c r="AH39" s="4">
        <v>112</v>
      </c>
      <c r="AI39" s="134" t="s">
        <v>30</v>
      </c>
    </row>
    <row r="40" spans="1:35" x14ac:dyDescent="0.35">
      <c r="A40" s="4">
        <v>15</v>
      </c>
      <c r="B40" s="4">
        <v>112</v>
      </c>
      <c r="C40" s="53" t="s">
        <v>76</v>
      </c>
      <c r="D40" s="1"/>
      <c r="E40" s="4">
        <v>15</v>
      </c>
      <c r="F40" s="4">
        <v>116</v>
      </c>
      <c r="G40" s="65" t="s">
        <v>76</v>
      </c>
      <c r="H40" s="1"/>
      <c r="I40" s="4">
        <v>15</v>
      </c>
      <c r="J40" s="4">
        <v>113</v>
      </c>
      <c r="K40" s="75" t="s">
        <v>76</v>
      </c>
      <c r="L40" s="1"/>
      <c r="M40" s="4">
        <v>15</v>
      </c>
      <c r="N40" s="4">
        <v>111</v>
      </c>
      <c r="O40" s="84" t="s">
        <v>27</v>
      </c>
      <c r="P40" s="1"/>
      <c r="Q40" s="4">
        <v>15</v>
      </c>
      <c r="R40" s="4">
        <v>117</v>
      </c>
      <c r="S40" s="94" t="s">
        <v>27</v>
      </c>
      <c r="T40" s="1"/>
      <c r="U40" s="4">
        <v>15</v>
      </c>
      <c r="V40" s="4">
        <v>113</v>
      </c>
      <c r="W40" s="105" t="s">
        <v>76</v>
      </c>
      <c r="X40" s="1"/>
      <c r="Y40" s="4">
        <v>15</v>
      </c>
      <c r="Z40" s="4">
        <v>113</v>
      </c>
      <c r="AA40" s="115" t="s">
        <v>76</v>
      </c>
      <c r="AB40" s="1"/>
      <c r="AC40" s="4">
        <v>15</v>
      </c>
      <c r="AD40" s="4">
        <v>115</v>
      </c>
      <c r="AE40" s="125" t="s">
        <v>76</v>
      </c>
      <c r="AF40" s="1"/>
      <c r="AG40" s="4">
        <v>15</v>
      </c>
      <c r="AH40" s="4">
        <v>110</v>
      </c>
      <c r="AI40" s="134" t="s">
        <v>30</v>
      </c>
    </row>
    <row r="41" spans="1:35" x14ac:dyDescent="0.35">
      <c r="A41" s="4">
        <v>14</v>
      </c>
      <c r="B41" s="4">
        <v>109</v>
      </c>
      <c r="C41" s="53" t="s">
        <v>76</v>
      </c>
      <c r="D41" s="1"/>
      <c r="E41" s="4">
        <v>14</v>
      </c>
      <c r="F41" s="4">
        <v>113</v>
      </c>
      <c r="G41" s="66" t="s">
        <v>30</v>
      </c>
      <c r="H41" s="1"/>
      <c r="I41" s="4">
        <v>14</v>
      </c>
      <c r="J41" s="4">
        <v>111</v>
      </c>
      <c r="K41" s="75" t="s">
        <v>76</v>
      </c>
      <c r="L41" s="1"/>
      <c r="M41" s="4">
        <v>14</v>
      </c>
      <c r="N41" s="4">
        <v>108</v>
      </c>
      <c r="O41" s="85" t="s">
        <v>75</v>
      </c>
      <c r="P41" s="1"/>
      <c r="Q41" s="4">
        <v>14</v>
      </c>
      <c r="R41" s="4">
        <v>114</v>
      </c>
      <c r="S41" s="95" t="s">
        <v>75</v>
      </c>
      <c r="T41" s="1"/>
      <c r="U41" s="4">
        <v>14</v>
      </c>
      <c r="V41" s="4">
        <v>110</v>
      </c>
      <c r="W41" s="106" t="s">
        <v>30</v>
      </c>
      <c r="X41" s="1"/>
      <c r="Y41" s="4">
        <v>14</v>
      </c>
      <c r="Z41" s="4">
        <v>110</v>
      </c>
      <c r="AA41" s="115" t="s">
        <v>76</v>
      </c>
      <c r="AB41" s="1"/>
      <c r="AC41" s="4">
        <v>14</v>
      </c>
      <c r="AD41" s="4">
        <v>112</v>
      </c>
      <c r="AE41" s="125" t="s">
        <v>76</v>
      </c>
      <c r="AF41" s="1"/>
      <c r="AG41" s="4">
        <v>14</v>
      </c>
      <c r="AH41" s="4">
        <v>108</v>
      </c>
      <c r="AI41" s="134" t="s">
        <v>30</v>
      </c>
    </row>
    <row r="42" spans="1:35" x14ac:dyDescent="0.35">
      <c r="A42" s="4">
        <v>13</v>
      </c>
      <c r="B42" s="4">
        <v>106</v>
      </c>
      <c r="C42" s="53" t="s">
        <v>76</v>
      </c>
      <c r="D42" s="1"/>
      <c r="E42" s="4">
        <v>13</v>
      </c>
      <c r="F42" s="4">
        <v>109</v>
      </c>
      <c r="G42" s="66" t="s">
        <v>30</v>
      </c>
      <c r="H42" s="1"/>
      <c r="I42" s="4">
        <v>13</v>
      </c>
      <c r="J42" s="4">
        <v>108</v>
      </c>
      <c r="K42" s="75" t="s">
        <v>76</v>
      </c>
      <c r="L42" s="1"/>
      <c r="M42" s="4">
        <v>13</v>
      </c>
      <c r="N42" s="4">
        <v>106</v>
      </c>
      <c r="O42" s="85" t="s">
        <v>75</v>
      </c>
      <c r="P42" s="1"/>
      <c r="Q42" s="4">
        <v>13</v>
      </c>
      <c r="R42" s="4">
        <v>11</v>
      </c>
      <c r="S42" s="95" t="s">
        <v>75</v>
      </c>
      <c r="T42" s="1"/>
      <c r="U42" s="4">
        <v>13</v>
      </c>
      <c r="V42" s="4">
        <v>108</v>
      </c>
      <c r="W42" s="106" t="s">
        <v>30</v>
      </c>
      <c r="X42" s="1"/>
      <c r="Y42" s="4">
        <v>13</v>
      </c>
      <c r="Z42" s="4">
        <v>107</v>
      </c>
      <c r="AA42" s="115" t="s">
        <v>76</v>
      </c>
      <c r="AB42" s="1"/>
      <c r="AC42" s="4">
        <v>13</v>
      </c>
      <c r="AD42" s="4">
        <v>109</v>
      </c>
      <c r="AE42" s="125" t="s">
        <v>76</v>
      </c>
      <c r="AF42" s="1"/>
      <c r="AG42" s="4">
        <v>13</v>
      </c>
      <c r="AH42" s="4">
        <v>105</v>
      </c>
      <c r="AI42" s="134" t="s">
        <v>30</v>
      </c>
    </row>
    <row r="43" spans="1:35" x14ac:dyDescent="0.35">
      <c r="A43" s="4">
        <v>12</v>
      </c>
      <c r="B43" s="4">
        <v>103</v>
      </c>
      <c r="C43" s="54" t="s">
        <v>30</v>
      </c>
      <c r="D43" s="1"/>
      <c r="E43" s="4">
        <v>12</v>
      </c>
      <c r="F43" s="4">
        <v>106</v>
      </c>
      <c r="G43" s="67" t="s">
        <v>75</v>
      </c>
      <c r="H43" s="1"/>
      <c r="I43" s="4">
        <v>12</v>
      </c>
      <c r="J43" s="4">
        <v>106</v>
      </c>
      <c r="K43" s="75" t="s">
        <v>76</v>
      </c>
      <c r="L43" s="1"/>
      <c r="M43" s="4">
        <v>12</v>
      </c>
      <c r="N43" s="4">
        <v>103</v>
      </c>
      <c r="O43" s="86" t="s">
        <v>30</v>
      </c>
      <c r="P43" s="1"/>
      <c r="Q43" s="4">
        <v>12</v>
      </c>
      <c r="R43" s="4">
        <v>108</v>
      </c>
      <c r="S43" s="95" t="s">
        <v>75</v>
      </c>
      <c r="T43" s="1"/>
      <c r="U43" s="4">
        <v>12</v>
      </c>
      <c r="V43" s="4">
        <v>106</v>
      </c>
      <c r="W43" s="106" t="s">
        <v>30</v>
      </c>
      <c r="X43" s="1"/>
      <c r="Y43" s="4">
        <v>12</v>
      </c>
      <c r="Z43" s="4">
        <v>104</v>
      </c>
      <c r="AA43" s="116" t="s">
        <v>30</v>
      </c>
      <c r="AB43" s="1"/>
      <c r="AC43" s="4">
        <v>12</v>
      </c>
      <c r="AD43" s="4">
        <v>106</v>
      </c>
      <c r="AE43" s="125" t="s">
        <v>76</v>
      </c>
      <c r="AF43" s="1"/>
      <c r="AG43" s="4">
        <v>12</v>
      </c>
      <c r="AH43" s="4">
        <v>103</v>
      </c>
      <c r="AI43" s="134" t="s">
        <v>30</v>
      </c>
    </row>
    <row r="44" spans="1:35" x14ac:dyDescent="0.35">
      <c r="A44" s="4">
        <v>11</v>
      </c>
      <c r="B44" s="4">
        <v>100</v>
      </c>
      <c r="C44" s="54" t="s">
        <v>30</v>
      </c>
      <c r="D44" s="1"/>
      <c r="E44" s="4">
        <v>11</v>
      </c>
      <c r="F44" s="4">
        <v>102</v>
      </c>
      <c r="G44" s="67" t="s">
        <v>75</v>
      </c>
      <c r="H44" s="1"/>
      <c r="I44" s="4">
        <v>11</v>
      </c>
      <c r="J44" s="4">
        <v>103</v>
      </c>
      <c r="K44" s="76" t="s">
        <v>30</v>
      </c>
      <c r="L44" s="1"/>
      <c r="M44" s="4">
        <v>11</v>
      </c>
      <c r="N44" s="4">
        <v>100</v>
      </c>
      <c r="O44" s="86" t="s">
        <v>30</v>
      </c>
      <c r="P44" s="1"/>
      <c r="Q44" s="4">
        <v>11</v>
      </c>
      <c r="R44" s="4">
        <v>105</v>
      </c>
      <c r="S44" s="96" t="s">
        <v>30</v>
      </c>
      <c r="T44" s="1"/>
      <c r="U44" s="4">
        <v>11</v>
      </c>
      <c r="V44" s="4">
        <v>103</v>
      </c>
      <c r="W44" s="106" t="s">
        <v>30</v>
      </c>
      <c r="X44" s="1"/>
      <c r="Y44" s="4">
        <v>11</v>
      </c>
      <c r="Z44" s="4">
        <v>101</v>
      </c>
      <c r="AA44" s="116" t="s">
        <v>30</v>
      </c>
      <c r="AB44" s="1"/>
      <c r="AC44" s="4">
        <v>11</v>
      </c>
      <c r="AD44" s="4">
        <v>103</v>
      </c>
      <c r="AE44" s="126" t="s">
        <v>30</v>
      </c>
      <c r="AF44" s="1"/>
      <c r="AG44" s="4">
        <v>11</v>
      </c>
      <c r="AH44" s="4">
        <v>101</v>
      </c>
      <c r="AI44" s="135" t="s">
        <v>75</v>
      </c>
    </row>
    <row r="45" spans="1:35" x14ac:dyDescent="0.35">
      <c r="A45" s="4">
        <v>10</v>
      </c>
      <c r="B45" s="4">
        <v>97</v>
      </c>
      <c r="C45" s="54" t="s">
        <v>30</v>
      </c>
      <c r="D45" s="1"/>
      <c r="E45" s="4">
        <v>10</v>
      </c>
      <c r="F45" s="4">
        <v>99</v>
      </c>
      <c r="G45" s="67" t="s">
        <v>75</v>
      </c>
      <c r="H45" s="1"/>
      <c r="I45" s="4">
        <v>10</v>
      </c>
      <c r="J45" s="4">
        <v>101</v>
      </c>
      <c r="K45" s="76" t="s">
        <v>30</v>
      </c>
      <c r="L45" s="1"/>
      <c r="M45" s="4">
        <v>10</v>
      </c>
      <c r="N45" s="4">
        <v>97</v>
      </c>
      <c r="O45" s="87" t="s">
        <v>76</v>
      </c>
      <c r="P45" s="1"/>
      <c r="Q45" s="4">
        <v>10</v>
      </c>
      <c r="R45" s="4">
        <v>102</v>
      </c>
      <c r="S45" s="96" t="s">
        <v>30</v>
      </c>
      <c r="T45" s="1"/>
      <c r="U45" s="4">
        <v>10</v>
      </c>
      <c r="V45" s="4">
        <v>101</v>
      </c>
      <c r="W45" s="107" t="s">
        <v>75</v>
      </c>
      <c r="X45" s="1"/>
      <c r="Y45" s="4">
        <v>10</v>
      </c>
      <c r="Z45" s="4">
        <v>99</v>
      </c>
      <c r="AA45" s="116" t="s">
        <v>30</v>
      </c>
      <c r="AB45" s="1"/>
      <c r="AC45" s="4">
        <v>10</v>
      </c>
      <c r="AD45" s="4">
        <v>100</v>
      </c>
      <c r="AE45" s="126" t="s">
        <v>30</v>
      </c>
      <c r="AF45" s="1"/>
      <c r="AG45" s="4">
        <v>10</v>
      </c>
      <c r="AH45" s="4">
        <v>98</v>
      </c>
      <c r="AI45" s="135" t="s">
        <v>75</v>
      </c>
    </row>
    <row r="46" spans="1:35" x14ac:dyDescent="0.35">
      <c r="A46" s="4">
        <v>9</v>
      </c>
      <c r="B46" s="4">
        <v>94</v>
      </c>
      <c r="C46" s="55" t="s">
        <v>75</v>
      </c>
      <c r="D46" s="1"/>
      <c r="E46" s="4">
        <v>9</v>
      </c>
      <c r="F46" s="4">
        <v>95</v>
      </c>
      <c r="G46" s="68" t="s">
        <v>25</v>
      </c>
      <c r="H46" s="1"/>
      <c r="I46" s="4">
        <v>9</v>
      </c>
      <c r="J46" s="4">
        <v>98</v>
      </c>
      <c r="K46" s="76" t="s">
        <v>30</v>
      </c>
      <c r="L46" s="1"/>
      <c r="M46" s="4">
        <v>9</v>
      </c>
      <c r="N46" s="4">
        <v>94</v>
      </c>
      <c r="O46" s="87" t="s">
        <v>76</v>
      </c>
      <c r="P46" s="1"/>
      <c r="Q46" s="4">
        <v>9</v>
      </c>
      <c r="R46" s="4">
        <v>99</v>
      </c>
      <c r="S46" s="96" t="s">
        <v>30</v>
      </c>
      <c r="T46" s="1"/>
      <c r="U46" s="4">
        <v>9</v>
      </c>
      <c r="V46" s="4">
        <v>99</v>
      </c>
      <c r="W46" s="107" t="s">
        <v>75</v>
      </c>
      <c r="X46" s="1"/>
      <c r="Y46" s="4">
        <v>9</v>
      </c>
      <c r="Z46" s="4">
        <v>96</v>
      </c>
      <c r="AA46" s="117" t="s">
        <v>75</v>
      </c>
      <c r="AB46" s="1"/>
      <c r="AC46" s="4">
        <v>9</v>
      </c>
      <c r="AD46" s="4">
        <v>97</v>
      </c>
      <c r="AE46" s="126" t="s">
        <v>30</v>
      </c>
      <c r="AF46" s="1"/>
      <c r="AG46" s="4">
        <v>9</v>
      </c>
      <c r="AH46" s="4">
        <v>96</v>
      </c>
      <c r="AI46" s="135" t="s">
        <v>75</v>
      </c>
    </row>
    <row r="47" spans="1:35" x14ac:dyDescent="0.35">
      <c r="A47" s="4">
        <v>8</v>
      </c>
      <c r="B47" s="4">
        <v>91</v>
      </c>
      <c r="C47" s="55" t="s">
        <v>75</v>
      </c>
      <c r="D47" s="1"/>
      <c r="E47" s="4">
        <v>8</v>
      </c>
      <c r="F47" s="4">
        <v>91</v>
      </c>
      <c r="G47" s="68" t="s">
        <v>25</v>
      </c>
      <c r="H47" s="1"/>
      <c r="I47" s="4">
        <v>8</v>
      </c>
      <c r="J47" s="4">
        <v>96</v>
      </c>
      <c r="K47" s="76" t="s">
        <v>30</v>
      </c>
      <c r="L47" s="1"/>
      <c r="M47" s="4">
        <v>8</v>
      </c>
      <c r="N47" s="4">
        <v>92</v>
      </c>
      <c r="O47" s="87" t="s">
        <v>76</v>
      </c>
      <c r="P47" s="1"/>
      <c r="Q47" s="4">
        <v>8</v>
      </c>
      <c r="R47" s="4">
        <v>97</v>
      </c>
      <c r="S47" s="96" t="s">
        <v>30</v>
      </c>
      <c r="T47" s="1"/>
      <c r="U47" s="4">
        <v>8</v>
      </c>
      <c r="V47" s="4">
        <v>96</v>
      </c>
      <c r="W47" s="107" t="s">
        <v>75</v>
      </c>
      <c r="X47" s="1"/>
      <c r="Y47" s="4">
        <v>8</v>
      </c>
      <c r="Z47" s="4">
        <v>93</v>
      </c>
      <c r="AA47" s="117" t="s">
        <v>75</v>
      </c>
      <c r="AB47" s="1"/>
      <c r="AC47" s="4">
        <v>8</v>
      </c>
      <c r="AD47" s="4">
        <v>95</v>
      </c>
      <c r="AE47" s="127" t="s">
        <v>75</v>
      </c>
      <c r="AF47" s="1"/>
      <c r="AG47" s="4">
        <v>8</v>
      </c>
      <c r="AH47" s="4">
        <v>94</v>
      </c>
      <c r="AI47" s="135" t="s">
        <v>75</v>
      </c>
    </row>
    <row r="48" spans="1:35" x14ac:dyDescent="0.35">
      <c r="A48" s="4">
        <v>7</v>
      </c>
      <c r="B48" s="4">
        <v>88</v>
      </c>
      <c r="C48" s="55" t="s">
        <v>75</v>
      </c>
      <c r="D48" s="1"/>
      <c r="E48" s="4">
        <v>7</v>
      </c>
      <c r="F48" s="4">
        <v>88</v>
      </c>
      <c r="G48" s="68" t="s">
        <v>25</v>
      </c>
      <c r="H48" s="1"/>
      <c r="I48" s="4">
        <v>7</v>
      </c>
      <c r="J48" s="4">
        <v>93</v>
      </c>
      <c r="K48" s="77" t="s">
        <v>75</v>
      </c>
      <c r="L48" s="1"/>
      <c r="M48" s="4">
        <v>7</v>
      </c>
      <c r="N48" s="4">
        <v>89</v>
      </c>
      <c r="O48" s="88" t="s">
        <v>25</v>
      </c>
      <c r="P48" s="1"/>
      <c r="Q48" s="4">
        <v>7</v>
      </c>
      <c r="R48" s="4">
        <v>94</v>
      </c>
      <c r="S48" s="97" t="s">
        <v>76</v>
      </c>
      <c r="T48" s="1"/>
      <c r="U48" s="4">
        <v>7</v>
      </c>
      <c r="V48" s="4">
        <v>94</v>
      </c>
      <c r="W48" s="107" t="s">
        <v>75</v>
      </c>
      <c r="X48" s="1"/>
      <c r="Y48" s="4">
        <v>7</v>
      </c>
      <c r="Z48" s="4">
        <v>90</v>
      </c>
      <c r="AA48" s="117" t="s">
        <v>75</v>
      </c>
      <c r="AB48" s="1"/>
      <c r="AC48" s="4">
        <v>7</v>
      </c>
      <c r="AD48" s="4">
        <v>92</v>
      </c>
      <c r="AE48" s="127" t="s">
        <v>75</v>
      </c>
      <c r="AF48" s="1"/>
      <c r="AG48" s="4">
        <v>7</v>
      </c>
      <c r="AH48" s="4">
        <v>91</v>
      </c>
      <c r="AI48" s="136" t="s">
        <v>25</v>
      </c>
    </row>
    <row r="49" spans="1:35" x14ac:dyDescent="0.35">
      <c r="A49" s="4">
        <v>6</v>
      </c>
      <c r="B49" s="4">
        <v>85</v>
      </c>
      <c r="C49" s="56" t="s">
        <v>25</v>
      </c>
      <c r="D49" s="1"/>
      <c r="E49" s="4">
        <v>6</v>
      </c>
      <c r="F49" s="4">
        <v>84</v>
      </c>
      <c r="G49" s="68" t="s">
        <v>25</v>
      </c>
      <c r="H49" s="1"/>
      <c r="I49" s="4">
        <v>6</v>
      </c>
      <c r="J49" s="4">
        <v>91</v>
      </c>
      <c r="K49" s="77" t="s">
        <v>75</v>
      </c>
      <c r="L49" s="1"/>
      <c r="M49" s="4">
        <v>6</v>
      </c>
      <c r="N49" s="4">
        <v>86</v>
      </c>
      <c r="O49" s="88" t="s">
        <v>25</v>
      </c>
      <c r="P49" s="1"/>
      <c r="Q49" s="4">
        <v>6</v>
      </c>
      <c r="R49" s="4">
        <v>91</v>
      </c>
      <c r="S49" s="97" t="s">
        <v>76</v>
      </c>
      <c r="T49" s="1"/>
      <c r="U49" s="4">
        <v>6</v>
      </c>
      <c r="V49" s="4">
        <v>91</v>
      </c>
      <c r="W49" s="107" t="s">
        <v>75</v>
      </c>
      <c r="X49" s="1"/>
      <c r="Y49" s="4">
        <v>6</v>
      </c>
      <c r="Z49" s="4">
        <v>87</v>
      </c>
      <c r="AA49" s="118" t="s">
        <v>25</v>
      </c>
      <c r="AB49" s="1"/>
      <c r="AC49" s="4">
        <v>6</v>
      </c>
      <c r="AD49" s="4">
        <v>89</v>
      </c>
      <c r="AE49" s="127" t="s">
        <v>75</v>
      </c>
      <c r="AF49" s="1"/>
      <c r="AG49" s="4">
        <v>6</v>
      </c>
      <c r="AH49" s="4">
        <v>89</v>
      </c>
      <c r="AI49" s="136" t="s">
        <v>25</v>
      </c>
    </row>
    <row r="50" spans="1:35" x14ac:dyDescent="0.35">
      <c r="A50" s="4">
        <v>5</v>
      </c>
      <c r="B50" s="4">
        <v>82</v>
      </c>
      <c r="C50" s="56" t="s">
        <v>25</v>
      </c>
      <c r="D50" s="1"/>
      <c r="E50" s="4">
        <v>5</v>
      </c>
      <c r="F50" s="4">
        <v>81</v>
      </c>
      <c r="G50" s="68" t="s">
        <v>25</v>
      </c>
      <c r="H50" s="1"/>
      <c r="I50" s="4">
        <v>5</v>
      </c>
      <c r="J50" s="4">
        <v>88</v>
      </c>
      <c r="K50" s="77" t="s">
        <v>75</v>
      </c>
      <c r="L50" s="1"/>
      <c r="M50" s="4">
        <v>5</v>
      </c>
      <c r="N50" s="4">
        <v>83</v>
      </c>
      <c r="O50" s="88" t="s">
        <v>25</v>
      </c>
      <c r="P50" s="1"/>
      <c r="Q50" s="4">
        <v>5</v>
      </c>
      <c r="R50" s="4">
        <v>88</v>
      </c>
      <c r="S50" s="97" t="s">
        <v>76</v>
      </c>
      <c r="T50" s="1"/>
      <c r="U50" s="4">
        <v>5</v>
      </c>
      <c r="V50" s="4">
        <v>89</v>
      </c>
      <c r="W50" s="108" t="s">
        <v>25</v>
      </c>
      <c r="X50" s="1"/>
      <c r="Y50" s="4">
        <v>5</v>
      </c>
      <c r="Z50" s="4">
        <v>84</v>
      </c>
      <c r="AA50" s="118" t="s">
        <v>25</v>
      </c>
      <c r="AB50" s="1"/>
      <c r="AC50" s="4">
        <v>5</v>
      </c>
      <c r="AD50" s="4">
        <v>86</v>
      </c>
      <c r="AE50" s="127" t="s">
        <v>75</v>
      </c>
      <c r="AF50" s="1"/>
      <c r="AG50" s="4">
        <v>5</v>
      </c>
      <c r="AH50" s="4">
        <v>87</v>
      </c>
      <c r="AI50" s="136" t="s">
        <v>25</v>
      </c>
    </row>
    <row r="51" spans="1:35" x14ac:dyDescent="0.35">
      <c r="A51" s="4">
        <v>4</v>
      </c>
      <c r="B51" s="4">
        <v>79</v>
      </c>
      <c r="C51" s="56" t="s">
        <v>25</v>
      </c>
      <c r="D51" s="1"/>
      <c r="E51" s="4">
        <v>4</v>
      </c>
      <c r="F51" s="4">
        <v>77</v>
      </c>
      <c r="G51" s="68" t="s">
        <v>25</v>
      </c>
      <c r="H51" s="1"/>
      <c r="I51" s="4">
        <v>4</v>
      </c>
      <c r="J51" s="4">
        <v>86</v>
      </c>
      <c r="K51" s="78" t="s">
        <v>25</v>
      </c>
      <c r="L51" s="1"/>
      <c r="M51" s="4">
        <v>4</v>
      </c>
      <c r="N51" s="4">
        <v>81</v>
      </c>
      <c r="O51" s="88" t="s">
        <v>25</v>
      </c>
      <c r="P51" s="1"/>
      <c r="Q51" s="4">
        <v>4</v>
      </c>
      <c r="R51" s="4">
        <v>85</v>
      </c>
      <c r="S51" s="98" t="s">
        <v>25</v>
      </c>
      <c r="T51" s="1"/>
      <c r="U51" s="4">
        <v>4</v>
      </c>
      <c r="V51" s="4">
        <v>87</v>
      </c>
      <c r="W51" s="108" t="s">
        <v>25</v>
      </c>
      <c r="X51" s="1"/>
      <c r="Y51" s="4">
        <v>4</v>
      </c>
      <c r="Z51" s="4">
        <v>81</v>
      </c>
      <c r="AA51" s="118" t="s">
        <v>25</v>
      </c>
      <c r="AB51" s="1"/>
      <c r="AC51" s="4">
        <v>4</v>
      </c>
      <c r="AD51" s="4">
        <v>83</v>
      </c>
      <c r="AE51" s="128" t="s">
        <v>25</v>
      </c>
      <c r="AF51" s="1"/>
      <c r="AG51" s="4">
        <v>4</v>
      </c>
      <c r="AH51" s="4">
        <v>84</v>
      </c>
      <c r="AI51" s="136" t="s">
        <v>25</v>
      </c>
    </row>
    <row r="52" spans="1:35" x14ac:dyDescent="0.35">
      <c r="A52" s="4">
        <v>3</v>
      </c>
      <c r="B52" s="4">
        <v>76</v>
      </c>
      <c r="C52" s="56" t="s">
        <v>25</v>
      </c>
      <c r="D52" s="1"/>
      <c r="E52" s="4">
        <v>3</v>
      </c>
      <c r="F52" s="4">
        <v>74</v>
      </c>
      <c r="G52" s="68" t="s">
        <v>25</v>
      </c>
      <c r="H52" s="1"/>
      <c r="I52" s="4">
        <v>3</v>
      </c>
      <c r="J52" s="4">
        <v>83</v>
      </c>
      <c r="K52" s="78" t="s">
        <v>25</v>
      </c>
      <c r="L52" s="1"/>
      <c r="M52" s="4">
        <v>3</v>
      </c>
      <c r="N52" s="4">
        <v>78</v>
      </c>
      <c r="O52" s="88" t="s">
        <v>25</v>
      </c>
      <c r="P52" s="1"/>
      <c r="Q52" s="4">
        <v>3</v>
      </c>
      <c r="R52" s="4">
        <v>82</v>
      </c>
      <c r="S52" s="98" t="s">
        <v>25</v>
      </c>
      <c r="T52" s="1"/>
      <c r="U52" s="4">
        <v>3</v>
      </c>
      <c r="V52" s="4">
        <v>84</v>
      </c>
      <c r="W52" s="108" t="s">
        <v>25</v>
      </c>
      <c r="X52" s="1"/>
      <c r="Y52" s="4">
        <v>3</v>
      </c>
      <c r="Z52" s="4">
        <v>79</v>
      </c>
      <c r="AA52" s="118" t="s">
        <v>25</v>
      </c>
      <c r="AB52" s="1"/>
      <c r="AC52" s="4">
        <v>3</v>
      </c>
      <c r="AD52" s="4">
        <v>80</v>
      </c>
      <c r="AE52" s="128" t="s">
        <v>25</v>
      </c>
      <c r="AF52" s="1"/>
      <c r="AG52" s="4">
        <v>3</v>
      </c>
      <c r="AH52" s="4">
        <v>82</v>
      </c>
      <c r="AI52" s="136" t="s">
        <v>25</v>
      </c>
    </row>
    <row r="53" spans="1:35" x14ac:dyDescent="0.35">
      <c r="A53" s="4">
        <v>2</v>
      </c>
      <c r="B53" s="4">
        <v>74</v>
      </c>
      <c r="C53" s="56" t="s">
        <v>25</v>
      </c>
      <c r="D53" s="1"/>
      <c r="E53" s="4">
        <v>2</v>
      </c>
      <c r="F53" s="4">
        <v>70</v>
      </c>
      <c r="G53" s="68" t="s">
        <v>25</v>
      </c>
      <c r="H53" s="1"/>
      <c r="I53" s="4">
        <v>2</v>
      </c>
      <c r="J53" s="4">
        <v>81</v>
      </c>
      <c r="K53" s="78" t="s">
        <v>25</v>
      </c>
      <c r="L53" s="1"/>
      <c r="M53" s="4">
        <v>2</v>
      </c>
      <c r="N53" s="4">
        <v>75</v>
      </c>
      <c r="O53" s="88" t="s">
        <v>25</v>
      </c>
      <c r="P53" s="1"/>
      <c r="Q53" s="4">
        <v>2</v>
      </c>
      <c r="R53" s="4">
        <v>79</v>
      </c>
      <c r="S53" s="98" t="s">
        <v>25</v>
      </c>
      <c r="T53" s="1"/>
      <c r="U53" s="4">
        <v>2</v>
      </c>
      <c r="V53" s="4">
        <v>82</v>
      </c>
      <c r="W53" s="108" t="s">
        <v>25</v>
      </c>
      <c r="X53" s="1"/>
      <c r="Y53" s="4">
        <v>2</v>
      </c>
      <c r="Z53" s="4">
        <v>76</v>
      </c>
      <c r="AA53" s="118" t="s">
        <v>25</v>
      </c>
      <c r="AB53" s="1"/>
      <c r="AC53" s="4">
        <v>2</v>
      </c>
      <c r="AD53" s="4">
        <v>77</v>
      </c>
      <c r="AE53" s="128" t="s">
        <v>25</v>
      </c>
      <c r="AF53" s="1"/>
      <c r="AG53" s="4">
        <v>2</v>
      </c>
      <c r="AH53" s="4">
        <v>80</v>
      </c>
      <c r="AI53" s="136" t="s">
        <v>25</v>
      </c>
    </row>
    <row r="54" spans="1:35" x14ac:dyDescent="0.35">
      <c r="A54" s="4">
        <v>1</v>
      </c>
      <c r="B54" s="9">
        <v>71</v>
      </c>
      <c r="C54" s="56" t="s">
        <v>25</v>
      </c>
      <c r="D54" s="1"/>
      <c r="E54" s="4">
        <v>1</v>
      </c>
      <c r="F54" s="4">
        <v>66</v>
      </c>
      <c r="G54" s="68" t="s">
        <v>25</v>
      </c>
      <c r="H54" s="1"/>
      <c r="I54" s="4">
        <v>1</v>
      </c>
      <c r="J54" s="4">
        <v>78</v>
      </c>
      <c r="K54" s="78" t="s">
        <v>25</v>
      </c>
      <c r="L54" s="1"/>
      <c r="M54" s="4">
        <v>1</v>
      </c>
      <c r="N54" s="4">
        <v>72</v>
      </c>
      <c r="O54" s="88" t="s">
        <v>25</v>
      </c>
      <c r="P54" s="1"/>
      <c r="Q54" s="4">
        <v>1</v>
      </c>
      <c r="R54" s="4">
        <v>77</v>
      </c>
      <c r="S54" s="98" t="s">
        <v>25</v>
      </c>
      <c r="T54" s="1"/>
      <c r="U54" s="4">
        <v>1</v>
      </c>
      <c r="V54" s="4">
        <v>80</v>
      </c>
      <c r="W54" s="108" t="s">
        <v>25</v>
      </c>
      <c r="X54" s="1"/>
      <c r="Y54" s="4">
        <v>1</v>
      </c>
      <c r="Z54" s="4">
        <v>73</v>
      </c>
      <c r="AA54" s="118" t="s">
        <v>25</v>
      </c>
      <c r="AB54" s="1"/>
      <c r="AC54" s="4">
        <v>1</v>
      </c>
      <c r="AD54" s="4">
        <v>75</v>
      </c>
      <c r="AE54" s="128" t="s">
        <v>25</v>
      </c>
      <c r="AF54" s="1"/>
      <c r="AG54" s="4">
        <v>1</v>
      </c>
      <c r="AH54" s="4">
        <v>77</v>
      </c>
      <c r="AI54" s="136" t="s">
        <v>25</v>
      </c>
    </row>
    <row r="55" spans="1:35" x14ac:dyDescent="0.35">
      <c r="A55" s="4">
        <v>0</v>
      </c>
      <c r="B55" s="8">
        <v>68</v>
      </c>
      <c r="C55" s="56" t="s">
        <v>25</v>
      </c>
      <c r="D55" s="1"/>
      <c r="E55" s="4">
        <v>0</v>
      </c>
      <c r="F55" s="4">
        <v>63</v>
      </c>
      <c r="G55" s="68" t="s">
        <v>25</v>
      </c>
      <c r="H55" s="1"/>
      <c r="I55" s="4">
        <v>0</v>
      </c>
      <c r="J55" s="4">
        <v>76</v>
      </c>
      <c r="K55" s="78" t="s">
        <v>25</v>
      </c>
      <c r="L55" s="1"/>
      <c r="M55" s="4">
        <v>0</v>
      </c>
      <c r="N55" s="4">
        <v>69</v>
      </c>
      <c r="O55" s="88" t="s">
        <v>25</v>
      </c>
      <c r="P55" s="1"/>
      <c r="Q55" s="4">
        <v>0</v>
      </c>
      <c r="R55" s="4">
        <v>74</v>
      </c>
      <c r="S55" s="98" t="s">
        <v>25</v>
      </c>
      <c r="T55" s="1"/>
      <c r="U55" s="4">
        <v>0</v>
      </c>
      <c r="V55" s="4">
        <v>77</v>
      </c>
      <c r="W55" s="108" t="s">
        <v>25</v>
      </c>
      <c r="X55" s="1"/>
      <c r="Y55" s="4">
        <v>0</v>
      </c>
      <c r="Z55" s="4">
        <v>70</v>
      </c>
      <c r="AA55" s="118" t="s">
        <v>25</v>
      </c>
      <c r="AB55" s="1"/>
      <c r="AC55" s="4">
        <v>0</v>
      </c>
      <c r="AD55" s="4">
        <v>72</v>
      </c>
      <c r="AE55" s="128" t="s">
        <v>25</v>
      </c>
      <c r="AF55" s="1"/>
      <c r="AG55" s="4">
        <v>0</v>
      </c>
      <c r="AH55" s="4">
        <v>75</v>
      </c>
      <c r="AI55" s="136" t="s">
        <v>25</v>
      </c>
    </row>
    <row r="58" spans="1:35" ht="15" customHeight="1" x14ac:dyDescent="0.35"/>
    <row r="59" spans="1:35" ht="15" customHeight="1" x14ac:dyDescent="0.35">
      <c r="A59" s="333" t="s">
        <v>63</v>
      </c>
      <c r="B59" s="334"/>
      <c r="C59" t="str">
        <f>IF(AND(IST!$N2 &gt;= 26,IST!$N2 &lt;= 30),"True","")</f>
        <v/>
      </c>
    </row>
    <row r="60" spans="1:35" x14ac:dyDescent="0.35">
      <c r="A60" s="335" t="s">
        <v>41</v>
      </c>
      <c r="B60" s="336"/>
      <c r="C60" s="337"/>
      <c r="D60" s="1"/>
      <c r="E60" s="330" t="s">
        <v>42</v>
      </c>
      <c r="F60" s="331"/>
      <c r="G60" s="332"/>
      <c r="H60" s="1"/>
      <c r="I60" s="330" t="s">
        <v>43</v>
      </c>
      <c r="J60" s="331"/>
      <c r="K60" s="332"/>
      <c r="L60" s="5"/>
      <c r="M60" s="331" t="s">
        <v>44</v>
      </c>
      <c r="N60" s="331"/>
      <c r="O60" s="332"/>
      <c r="P60" s="1"/>
      <c r="Q60" s="330" t="s">
        <v>45</v>
      </c>
      <c r="R60" s="331"/>
      <c r="S60" s="332"/>
      <c r="T60" s="1"/>
      <c r="U60" s="330" t="s">
        <v>46</v>
      </c>
      <c r="V60" s="331"/>
      <c r="W60" s="332"/>
      <c r="X60" s="1"/>
      <c r="Y60" s="330" t="s">
        <v>47</v>
      </c>
      <c r="Z60" s="331"/>
      <c r="AA60" s="332"/>
      <c r="AB60" s="1"/>
      <c r="AC60" s="330" t="s">
        <v>48</v>
      </c>
      <c r="AD60" s="331"/>
      <c r="AE60" s="332"/>
      <c r="AF60" s="1"/>
      <c r="AG60" s="330" t="s">
        <v>49</v>
      </c>
      <c r="AH60" s="331"/>
      <c r="AI60" s="332"/>
    </row>
    <row r="61" spans="1:35" x14ac:dyDescent="0.35">
      <c r="A61" s="6" t="s">
        <v>50</v>
      </c>
      <c r="B61" s="4" t="s">
        <v>51</v>
      </c>
      <c r="C61" s="4" t="s">
        <v>52</v>
      </c>
      <c r="D61" s="1"/>
      <c r="E61" s="6" t="s">
        <v>50</v>
      </c>
      <c r="F61" s="4" t="s">
        <v>51</v>
      </c>
      <c r="G61" s="4" t="s">
        <v>52</v>
      </c>
      <c r="H61" s="1"/>
      <c r="I61" s="4" t="s">
        <v>50</v>
      </c>
      <c r="J61" s="4" t="s">
        <v>51</v>
      </c>
      <c r="K61" s="4" t="s">
        <v>52</v>
      </c>
      <c r="L61" s="2"/>
      <c r="M61" s="6" t="s">
        <v>50</v>
      </c>
      <c r="N61" s="4" t="s">
        <v>51</v>
      </c>
      <c r="O61" s="4" t="s">
        <v>52</v>
      </c>
      <c r="P61" s="1"/>
      <c r="Q61" s="6" t="s">
        <v>50</v>
      </c>
      <c r="R61" s="4" t="s">
        <v>51</v>
      </c>
      <c r="S61" s="4" t="s">
        <v>52</v>
      </c>
      <c r="T61" s="1"/>
      <c r="U61" s="6" t="s">
        <v>50</v>
      </c>
      <c r="V61" s="4" t="s">
        <v>51</v>
      </c>
      <c r="W61" s="4" t="s">
        <v>52</v>
      </c>
      <c r="X61" s="1"/>
      <c r="Y61" s="6" t="s">
        <v>50</v>
      </c>
      <c r="Z61" s="4" t="s">
        <v>51</v>
      </c>
      <c r="AA61" s="4" t="s">
        <v>52</v>
      </c>
      <c r="AB61" s="1"/>
      <c r="AC61" s="6" t="s">
        <v>50</v>
      </c>
      <c r="AD61" s="4" t="s">
        <v>51</v>
      </c>
      <c r="AE61" s="4" t="s">
        <v>52</v>
      </c>
      <c r="AF61" s="1"/>
      <c r="AG61" s="6" t="s">
        <v>50</v>
      </c>
      <c r="AH61" s="4" t="s">
        <v>51</v>
      </c>
      <c r="AI61" s="4" t="s">
        <v>52</v>
      </c>
    </row>
    <row r="62" spans="1:35" x14ac:dyDescent="0.35">
      <c r="A62" s="6">
        <v>99</v>
      </c>
      <c r="B62" s="4">
        <v>999</v>
      </c>
      <c r="C62" s="7" t="s">
        <v>27</v>
      </c>
      <c r="D62" s="1"/>
      <c r="E62" s="6">
        <v>99</v>
      </c>
      <c r="F62" s="4">
        <v>999</v>
      </c>
      <c r="G62" s="7" t="s">
        <v>27</v>
      </c>
      <c r="H62" s="1"/>
      <c r="I62" s="4">
        <v>99</v>
      </c>
      <c r="J62" s="4">
        <v>999</v>
      </c>
      <c r="K62" s="7" t="s">
        <v>27</v>
      </c>
      <c r="L62" s="2"/>
      <c r="M62" s="6">
        <v>99</v>
      </c>
      <c r="N62" s="4">
        <v>999</v>
      </c>
      <c r="O62" s="4" t="s">
        <v>27</v>
      </c>
      <c r="P62" s="1"/>
      <c r="Q62" s="6">
        <v>99</v>
      </c>
      <c r="R62" s="4">
        <v>99</v>
      </c>
      <c r="S62" s="7" t="s">
        <v>27</v>
      </c>
      <c r="T62" s="1"/>
      <c r="U62" s="6">
        <v>99</v>
      </c>
      <c r="V62" s="4">
        <v>999</v>
      </c>
      <c r="W62" s="4" t="s">
        <v>27</v>
      </c>
      <c r="X62" s="1"/>
      <c r="Y62" s="6">
        <v>99</v>
      </c>
      <c r="Z62" s="4">
        <v>999</v>
      </c>
      <c r="AA62" s="4" t="s">
        <v>27</v>
      </c>
      <c r="AB62" s="1"/>
      <c r="AC62" s="6">
        <v>99</v>
      </c>
      <c r="AD62" s="4">
        <v>999</v>
      </c>
      <c r="AE62" s="7" t="s">
        <v>27</v>
      </c>
      <c r="AF62" s="1"/>
      <c r="AG62" s="6">
        <v>99</v>
      </c>
      <c r="AH62" s="4">
        <v>999</v>
      </c>
      <c r="AI62" s="4" t="s">
        <v>27</v>
      </c>
    </row>
    <row r="63" spans="1:35" x14ac:dyDescent="0.35">
      <c r="A63" s="4">
        <v>20</v>
      </c>
      <c r="B63" s="4" t="s">
        <v>61</v>
      </c>
      <c r="C63" s="137" t="s">
        <v>27</v>
      </c>
      <c r="D63" s="1"/>
      <c r="E63" s="4">
        <v>20</v>
      </c>
      <c r="F63" s="4" t="s">
        <v>64</v>
      </c>
      <c r="G63" s="142" t="s">
        <v>27</v>
      </c>
      <c r="H63" s="1"/>
      <c r="I63" s="4">
        <v>20</v>
      </c>
      <c r="J63" s="4">
        <v>125</v>
      </c>
      <c r="K63" s="148" t="s">
        <v>27</v>
      </c>
      <c r="L63" s="1"/>
      <c r="M63" s="4">
        <v>20</v>
      </c>
      <c r="N63" s="4" t="s">
        <v>53</v>
      </c>
      <c r="O63" s="153" t="s">
        <v>27</v>
      </c>
      <c r="P63" s="1"/>
      <c r="Q63" s="4">
        <v>20</v>
      </c>
      <c r="R63" s="4" t="s">
        <v>65</v>
      </c>
      <c r="S63" s="158" t="s">
        <v>27</v>
      </c>
      <c r="T63" s="1"/>
      <c r="U63" s="4">
        <v>20</v>
      </c>
      <c r="V63" s="4" t="s">
        <v>60</v>
      </c>
      <c r="W63" s="163" t="s">
        <v>27</v>
      </c>
      <c r="X63" s="1"/>
      <c r="Y63" s="4">
        <v>20</v>
      </c>
      <c r="Z63" s="4" t="s">
        <v>66</v>
      </c>
      <c r="AA63" s="168" t="s">
        <v>27</v>
      </c>
      <c r="AB63" s="1"/>
      <c r="AC63" s="4">
        <v>20</v>
      </c>
      <c r="AD63" s="4">
        <v>131</v>
      </c>
      <c r="AE63" s="173" t="s">
        <v>27</v>
      </c>
      <c r="AF63" s="1"/>
      <c r="AG63" s="4">
        <v>20</v>
      </c>
      <c r="AH63" s="4">
        <v>123</v>
      </c>
      <c r="AI63" s="178" t="s">
        <v>27</v>
      </c>
    </row>
    <row r="64" spans="1:35" x14ac:dyDescent="0.35">
      <c r="A64" s="4">
        <v>19</v>
      </c>
      <c r="B64" s="4">
        <v>124</v>
      </c>
      <c r="C64" s="137" t="s">
        <v>27</v>
      </c>
      <c r="D64" s="1"/>
      <c r="E64" s="4">
        <v>19</v>
      </c>
      <c r="F64" s="4">
        <v>129</v>
      </c>
      <c r="G64" s="143" t="s">
        <v>27</v>
      </c>
      <c r="H64" s="1"/>
      <c r="I64" s="4">
        <v>19</v>
      </c>
      <c r="J64" s="4">
        <v>123</v>
      </c>
      <c r="K64" s="148" t="s">
        <v>27</v>
      </c>
      <c r="L64" s="1"/>
      <c r="M64" s="4">
        <v>19</v>
      </c>
      <c r="N64" s="4">
        <v>121</v>
      </c>
      <c r="O64" s="153" t="s">
        <v>27</v>
      </c>
      <c r="P64" s="1"/>
      <c r="Q64" s="4">
        <v>19</v>
      </c>
      <c r="R64" s="4">
        <v>128</v>
      </c>
      <c r="S64" s="158" t="s">
        <v>27</v>
      </c>
      <c r="T64" s="1"/>
      <c r="U64" s="4">
        <v>19</v>
      </c>
      <c r="V64" s="4">
        <v>123</v>
      </c>
      <c r="W64" s="164" t="s">
        <v>76</v>
      </c>
      <c r="X64" s="1"/>
      <c r="Y64" s="4">
        <v>19</v>
      </c>
      <c r="Z64" s="4">
        <v>125</v>
      </c>
      <c r="AA64" s="168" t="s">
        <v>27</v>
      </c>
      <c r="AB64" s="1"/>
      <c r="AC64" s="4">
        <v>19</v>
      </c>
      <c r="AD64" s="4">
        <v>128</v>
      </c>
      <c r="AE64" s="173" t="s">
        <v>27</v>
      </c>
      <c r="AF64" s="1"/>
      <c r="AG64" s="4">
        <v>19</v>
      </c>
      <c r="AH64" s="4">
        <v>120</v>
      </c>
      <c r="AI64" s="179" t="s">
        <v>76</v>
      </c>
    </row>
    <row r="65" spans="1:35" x14ac:dyDescent="0.35">
      <c r="A65" s="4">
        <v>18</v>
      </c>
      <c r="B65" s="4">
        <v>121</v>
      </c>
      <c r="C65" s="137" t="s">
        <v>27</v>
      </c>
      <c r="D65" s="1"/>
      <c r="E65" s="4">
        <v>18</v>
      </c>
      <c r="F65" s="4">
        <v>126</v>
      </c>
      <c r="G65" s="143" t="s">
        <v>27</v>
      </c>
      <c r="H65" s="1"/>
      <c r="I65" s="4">
        <v>18</v>
      </c>
      <c r="J65" s="4">
        <v>121</v>
      </c>
      <c r="K65" s="148" t="s">
        <v>27</v>
      </c>
      <c r="L65" s="1"/>
      <c r="M65" s="4">
        <v>18</v>
      </c>
      <c r="N65" s="4">
        <v>119</v>
      </c>
      <c r="O65" s="153" t="s">
        <v>27</v>
      </c>
      <c r="P65" s="1"/>
      <c r="Q65" s="4">
        <v>18</v>
      </c>
      <c r="R65" s="4">
        <v>125</v>
      </c>
      <c r="S65" s="158" t="s">
        <v>27</v>
      </c>
      <c r="T65" s="1"/>
      <c r="U65" s="4">
        <v>18</v>
      </c>
      <c r="V65" s="4">
        <v>120</v>
      </c>
      <c r="W65" s="164" t="s">
        <v>76</v>
      </c>
      <c r="X65" s="1"/>
      <c r="Y65" s="4">
        <v>18</v>
      </c>
      <c r="Z65" s="4">
        <v>122</v>
      </c>
      <c r="AA65" s="168" t="s">
        <v>27</v>
      </c>
      <c r="AB65" s="1"/>
      <c r="AC65" s="4">
        <v>18</v>
      </c>
      <c r="AD65" s="4">
        <v>125</v>
      </c>
      <c r="AE65" s="173" t="s">
        <v>27</v>
      </c>
      <c r="AF65" s="1"/>
      <c r="AG65" s="4">
        <v>18</v>
      </c>
      <c r="AH65" s="4">
        <v>118</v>
      </c>
      <c r="AI65" s="179" t="s">
        <v>76</v>
      </c>
    </row>
    <row r="66" spans="1:35" x14ac:dyDescent="0.35">
      <c r="A66" s="4">
        <v>17</v>
      </c>
      <c r="B66" s="4">
        <v>118</v>
      </c>
      <c r="C66" s="137" t="s">
        <v>27</v>
      </c>
      <c r="D66" s="1"/>
      <c r="E66" s="4">
        <v>17</v>
      </c>
      <c r="F66" s="4">
        <v>123</v>
      </c>
      <c r="G66" s="144" t="s">
        <v>76</v>
      </c>
      <c r="H66" s="1"/>
      <c r="I66" s="4">
        <v>17</v>
      </c>
      <c r="J66" s="4">
        <v>118</v>
      </c>
      <c r="K66" s="148" t="s">
        <v>27</v>
      </c>
      <c r="L66" s="1"/>
      <c r="M66" s="4">
        <v>17</v>
      </c>
      <c r="N66" s="4">
        <v>116</v>
      </c>
      <c r="O66" s="153" t="s">
        <v>27</v>
      </c>
      <c r="P66" s="1"/>
      <c r="Q66" s="4">
        <v>17</v>
      </c>
      <c r="R66" s="4">
        <v>122</v>
      </c>
      <c r="S66" s="158" t="s">
        <v>27</v>
      </c>
      <c r="T66" s="1"/>
      <c r="U66" s="4">
        <v>17</v>
      </c>
      <c r="V66" s="4">
        <v>118</v>
      </c>
      <c r="W66" s="164" t="s">
        <v>76</v>
      </c>
      <c r="X66" s="1"/>
      <c r="Y66" s="4">
        <v>17</v>
      </c>
      <c r="Z66" s="4">
        <v>119</v>
      </c>
      <c r="AA66" s="168" t="s">
        <v>27</v>
      </c>
      <c r="AB66" s="1"/>
      <c r="AC66" s="4">
        <v>17</v>
      </c>
      <c r="AD66" s="4">
        <v>122</v>
      </c>
      <c r="AE66" s="173" t="s">
        <v>27</v>
      </c>
      <c r="AF66" s="1"/>
      <c r="AG66" s="4">
        <v>17</v>
      </c>
      <c r="AH66" s="4">
        <v>116</v>
      </c>
      <c r="AI66" s="179" t="s">
        <v>76</v>
      </c>
    </row>
    <row r="67" spans="1:35" x14ac:dyDescent="0.35">
      <c r="A67" s="4">
        <v>16</v>
      </c>
      <c r="B67" s="4">
        <v>115</v>
      </c>
      <c r="C67" s="137" t="s">
        <v>27</v>
      </c>
      <c r="D67" s="1"/>
      <c r="E67" s="4">
        <v>16</v>
      </c>
      <c r="F67" s="4">
        <v>119</v>
      </c>
      <c r="G67" s="144" t="s">
        <v>76</v>
      </c>
      <c r="H67" s="1"/>
      <c r="I67" s="4">
        <v>16</v>
      </c>
      <c r="J67" s="4">
        <v>116</v>
      </c>
      <c r="K67" s="148" t="s">
        <v>27</v>
      </c>
      <c r="L67" s="1"/>
      <c r="M67" s="4">
        <v>16</v>
      </c>
      <c r="N67" s="4">
        <v>113</v>
      </c>
      <c r="O67" s="153" t="s">
        <v>27</v>
      </c>
      <c r="P67" s="1"/>
      <c r="Q67" s="4">
        <v>16</v>
      </c>
      <c r="R67" s="4">
        <v>119</v>
      </c>
      <c r="S67" s="158" t="s">
        <v>27</v>
      </c>
      <c r="T67" s="1"/>
      <c r="U67" s="4">
        <v>16</v>
      </c>
      <c r="V67" s="4">
        <v>116</v>
      </c>
      <c r="W67" s="164" t="s">
        <v>76</v>
      </c>
      <c r="X67" s="1"/>
      <c r="Y67" s="4">
        <v>16</v>
      </c>
      <c r="Z67" s="4">
        <v>116</v>
      </c>
      <c r="AA67" s="169" t="s">
        <v>76</v>
      </c>
      <c r="AB67" s="1"/>
      <c r="AC67" s="4">
        <v>16</v>
      </c>
      <c r="AD67" s="4">
        <v>119</v>
      </c>
      <c r="AE67" s="173" t="s">
        <v>27</v>
      </c>
      <c r="AF67" s="1"/>
      <c r="AG67" s="4">
        <v>16</v>
      </c>
      <c r="AH67" s="4">
        <v>114</v>
      </c>
      <c r="AI67" s="179" t="s">
        <v>30</v>
      </c>
    </row>
    <row r="68" spans="1:35" x14ac:dyDescent="0.35">
      <c r="A68" s="4">
        <v>15</v>
      </c>
      <c r="B68" s="4">
        <v>112</v>
      </c>
      <c r="C68" s="138" t="s">
        <v>76</v>
      </c>
      <c r="D68" s="1"/>
      <c r="E68" s="4">
        <v>15</v>
      </c>
      <c r="F68" s="4">
        <v>116</v>
      </c>
      <c r="G68" s="144" t="s">
        <v>76</v>
      </c>
      <c r="H68" s="1"/>
      <c r="I68" s="4">
        <v>15</v>
      </c>
      <c r="J68" s="4">
        <v>114</v>
      </c>
      <c r="K68" s="149" t="s">
        <v>76</v>
      </c>
      <c r="L68" s="1"/>
      <c r="M68" s="4">
        <v>15</v>
      </c>
      <c r="N68" s="4">
        <v>110</v>
      </c>
      <c r="O68" s="153" t="s">
        <v>27</v>
      </c>
      <c r="P68" s="1"/>
      <c r="Q68" s="4">
        <v>15</v>
      </c>
      <c r="R68" s="4">
        <v>117</v>
      </c>
      <c r="S68" s="158" t="s">
        <v>27</v>
      </c>
      <c r="T68" s="1"/>
      <c r="U68" s="4">
        <v>15</v>
      </c>
      <c r="V68" s="4">
        <v>113</v>
      </c>
      <c r="W68" s="164" t="s">
        <v>76</v>
      </c>
      <c r="X68" s="1"/>
      <c r="Y68" s="4">
        <v>15</v>
      </c>
      <c r="Z68" s="4">
        <v>113</v>
      </c>
      <c r="AA68" s="169" t="s">
        <v>76</v>
      </c>
      <c r="AB68" s="1"/>
      <c r="AC68" s="4">
        <v>15</v>
      </c>
      <c r="AD68" s="4">
        <v>116</v>
      </c>
      <c r="AE68" s="174" t="s">
        <v>76</v>
      </c>
      <c r="AF68" s="1"/>
      <c r="AG68" s="4">
        <v>15</v>
      </c>
      <c r="AH68" s="4">
        <v>111</v>
      </c>
      <c r="AI68" s="179" t="s">
        <v>30</v>
      </c>
    </row>
    <row r="69" spans="1:35" x14ac:dyDescent="0.35">
      <c r="A69" s="4">
        <v>14</v>
      </c>
      <c r="B69" s="4">
        <v>108</v>
      </c>
      <c r="C69" s="138" t="s">
        <v>76</v>
      </c>
      <c r="D69" s="1"/>
      <c r="E69" s="4">
        <v>14</v>
      </c>
      <c r="F69" s="4">
        <v>113</v>
      </c>
      <c r="G69" s="145" t="s">
        <v>30</v>
      </c>
      <c r="H69" s="1"/>
      <c r="I69" s="4">
        <v>14</v>
      </c>
      <c r="J69" s="4">
        <v>111</v>
      </c>
      <c r="K69" s="149" t="s">
        <v>76</v>
      </c>
      <c r="L69" s="1"/>
      <c r="M69" s="4">
        <v>14</v>
      </c>
      <c r="N69" s="4">
        <v>108</v>
      </c>
      <c r="O69" s="154" t="s">
        <v>75</v>
      </c>
      <c r="P69" s="1"/>
      <c r="Q69" s="4">
        <v>14</v>
      </c>
      <c r="R69" s="4">
        <v>114</v>
      </c>
      <c r="S69" s="159" t="s">
        <v>75</v>
      </c>
      <c r="T69" s="1"/>
      <c r="U69" s="4">
        <v>14</v>
      </c>
      <c r="V69" s="4">
        <v>111</v>
      </c>
      <c r="W69" s="165" t="s">
        <v>30</v>
      </c>
      <c r="X69" s="1"/>
      <c r="Y69" s="4">
        <v>14</v>
      </c>
      <c r="Z69" s="4">
        <v>111</v>
      </c>
      <c r="AA69" s="169" t="s">
        <v>76</v>
      </c>
      <c r="AB69" s="1"/>
      <c r="AC69" s="4">
        <v>14</v>
      </c>
      <c r="AD69" s="4">
        <v>113</v>
      </c>
      <c r="AE69" s="174" t="s">
        <v>76</v>
      </c>
      <c r="AF69" s="1"/>
      <c r="AG69" s="4">
        <v>14</v>
      </c>
      <c r="AH69" s="4">
        <v>109</v>
      </c>
      <c r="AI69" s="179" t="s">
        <v>30</v>
      </c>
    </row>
    <row r="70" spans="1:35" x14ac:dyDescent="0.35">
      <c r="A70" s="4">
        <v>13</v>
      </c>
      <c r="B70" s="4">
        <v>105</v>
      </c>
      <c r="C70" s="138" t="s">
        <v>76</v>
      </c>
      <c r="D70" s="1"/>
      <c r="E70" s="4">
        <v>13</v>
      </c>
      <c r="F70" s="4">
        <v>109</v>
      </c>
      <c r="G70" s="145" t="s">
        <v>30</v>
      </c>
      <c r="H70" s="1"/>
      <c r="I70" s="4">
        <v>13</v>
      </c>
      <c r="J70" s="4">
        <v>109</v>
      </c>
      <c r="K70" s="149" t="s">
        <v>76</v>
      </c>
      <c r="L70" s="1"/>
      <c r="M70" s="4">
        <v>13</v>
      </c>
      <c r="N70" s="4">
        <v>105</v>
      </c>
      <c r="O70" s="154" t="s">
        <v>75</v>
      </c>
      <c r="P70" s="1"/>
      <c r="Q70" s="4">
        <v>13</v>
      </c>
      <c r="R70" s="4">
        <v>111</v>
      </c>
      <c r="S70" s="159" t="s">
        <v>75</v>
      </c>
      <c r="T70" s="1"/>
      <c r="U70" s="4">
        <v>13</v>
      </c>
      <c r="V70" s="4">
        <v>109</v>
      </c>
      <c r="W70" s="165" t="s">
        <v>30</v>
      </c>
      <c r="X70" s="1"/>
      <c r="Y70" s="4">
        <v>13</v>
      </c>
      <c r="Z70" s="4">
        <v>108</v>
      </c>
      <c r="AA70" s="169" t="s">
        <v>76</v>
      </c>
      <c r="AB70" s="1"/>
      <c r="AC70" s="4">
        <v>13</v>
      </c>
      <c r="AD70" s="4">
        <v>110</v>
      </c>
      <c r="AE70" s="174" t="s">
        <v>76</v>
      </c>
      <c r="AF70" s="1"/>
      <c r="AG70" s="4">
        <v>13</v>
      </c>
      <c r="AH70" s="4">
        <v>107</v>
      </c>
      <c r="AI70" s="179" t="s">
        <v>30</v>
      </c>
    </row>
    <row r="71" spans="1:35" x14ac:dyDescent="0.35">
      <c r="A71" s="4">
        <v>12</v>
      </c>
      <c r="B71" s="4">
        <v>102</v>
      </c>
      <c r="C71" s="139" t="s">
        <v>30</v>
      </c>
      <c r="D71" s="1"/>
      <c r="E71" s="4">
        <v>12</v>
      </c>
      <c r="F71" s="4">
        <v>106</v>
      </c>
      <c r="G71" s="146" t="s">
        <v>75</v>
      </c>
      <c r="H71" s="1"/>
      <c r="I71" s="4">
        <v>12</v>
      </c>
      <c r="J71" s="4">
        <v>106</v>
      </c>
      <c r="K71" s="149" t="s">
        <v>76</v>
      </c>
      <c r="L71" s="1"/>
      <c r="M71" s="4">
        <v>12</v>
      </c>
      <c r="N71" s="4">
        <v>102</v>
      </c>
      <c r="O71" s="155" t="s">
        <v>30</v>
      </c>
      <c r="P71" s="1"/>
      <c r="Q71" s="4">
        <v>12</v>
      </c>
      <c r="R71" s="4">
        <v>108</v>
      </c>
      <c r="S71" s="159" t="s">
        <v>75</v>
      </c>
      <c r="T71" s="1"/>
      <c r="U71" s="4">
        <v>12</v>
      </c>
      <c r="V71" s="4">
        <v>107</v>
      </c>
      <c r="W71" s="165" t="s">
        <v>30</v>
      </c>
      <c r="X71" s="1"/>
      <c r="Y71" s="4">
        <v>12</v>
      </c>
      <c r="Z71" s="4">
        <v>105</v>
      </c>
      <c r="AA71" s="170" t="s">
        <v>30</v>
      </c>
      <c r="AB71" s="1"/>
      <c r="AC71" s="4">
        <v>12</v>
      </c>
      <c r="AD71" s="4">
        <v>107</v>
      </c>
      <c r="AE71" s="174" t="s">
        <v>76</v>
      </c>
      <c r="AF71" s="1"/>
      <c r="AG71" s="4">
        <v>12</v>
      </c>
      <c r="AH71" s="4">
        <v>105</v>
      </c>
      <c r="AI71" s="179" t="s">
        <v>30</v>
      </c>
    </row>
    <row r="72" spans="1:35" x14ac:dyDescent="0.35">
      <c r="A72" s="4">
        <v>11</v>
      </c>
      <c r="B72" s="4">
        <v>99</v>
      </c>
      <c r="C72" s="139" t="s">
        <v>30</v>
      </c>
      <c r="D72" s="1"/>
      <c r="E72" s="4">
        <v>11</v>
      </c>
      <c r="F72" s="4">
        <v>103</v>
      </c>
      <c r="G72" s="146" t="s">
        <v>75</v>
      </c>
      <c r="H72" s="1"/>
      <c r="I72" s="4">
        <v>11</v>
      </c>
      <c r="J72" s="4">
        <v>104</v>
      </c>
      <c r="K72" s="150" t="s">
        <v>30</v>
      </c>
      <c r="L72" s="1"/>
      <c r="M72" s="4">
        <v>11</v>
      </c>
      <c r="N72" s="4">
        <v>99</v>
      </c>
      <c r="O72" s="155" t="s">
        <v>30</v>
      </c>
      <c r="P72" s="1"/>
      <c r="Q72" s="4">
        <v>11</v>
      </c>
      <c r="R72" s="4">
        <v>105</v>
      </c>
      <c r="S72" s="160" t="s">
        <v>30</v>
      </c>
      <c r="T72" s="1"/>
      <c r="U72" s="4">
        <v>11</v>
      </c>
      <c r="V72" s="4">
        <v>104</v>
      </c>
      <c r="W72" s="165" t="s">
        <v>30</v>
      </c>
      <c r="X72" s="1"/>
      <c r="Y72" s="4">
        <v>11</v>
      </c>
      <c r="Z72" s="4">
        <v>102</v>
      </c>
      <c r="AA72" s="170" t="s">
        <v>30</v>
      </c>
      <c r="AB72" s="1"/>
      <c r="AC72" s="4">
        <v>11</v>
      </c>
      <c r="AD72" s="4">
        <v>104</v>
      </c>
      <c r="AE72" s="175" t="s">
        <v>30</v>
      </c>
      <c r="AF72" s="1"/>
      <c r="AG72" s="4">
        <v>11</v>
      </c>
      <c r="AH72" s="4">
        <v>102</v>
      </c>
      <c r="AI72" s="180" t="s">
        <v>75</v>
      </c>
    </row>
    <row r="73" spans="1:35" x14ac:dyDescent="0.35">
      <c r="A73" s="4">
        <v>10</v>
      </c>
      <c r="B73" s="4">
        <v>96</v>
      </c>
      <c r="C73" s="139" t="s">
        <v>30</v>
      </c>
      <c r="D73" s="1"/>
      <c r="E73" s="4">
        <v>10</v>
      </c>
      <c r="F73" s="4">
        <v>99</v>
      </c>
      <c r="G73" s="146" t="s">
        <v>75</v>
      </c>
      <c r="H73" s="1"/>
      <c r="I73" s="4">
        <v>10</v>
      </c>
      <c r="J73" s="4">
        <v>102</v>
      </c>
      <c r="K73" s="150" t="s">
        <v>30</v>
      </c>
      <c r="L73" s="1"/>
      <c r="M73" s="4">
        <v>10</v>
      </c>
      <c r="N73" s="4">
        <v>96</v>
      </c>
      <c r="O73" s="156" t="s">
        <v>76</v>
      </c>
      <c r="P73" s="1"/>
      <c r="Q73" s="4">
        <v>10</v>
      </c>
      <c r="R73" s="4">
        <v>102</v>
      </c>
      <c r="S73" s="160" t="s">
        <v>30</v>
      </c>
      <c r="T73" s="1"/>
      <c r="U73" s="4">
        <v>10</v>
      </c>
      <c r="V73" s="4">
        <v>102</v>
      </c>
      <c r="W73" s="166" t="s">
        <v>75</v>
      </c>
      <c r="X73" s="1"/>
      <c r="Y73" s="4">
        <v>10</v>
      </c>
      <c r="Z73" s="4">
        <v>99</v>
      </c>
      <c r="AA73" s="170" t="s">
        <v>30</v>
      </c>
      <c r="AB73" s="1"/>
      <c r="AC73" s="4">
        <v>10</v>
      </c>
      <c r="AD73" s="4">
        <v>101</v>
      </c>
      <c r="AE73" s="175" t="s">
        <v>30</v>
      </c>
      <c r="AF73" s="1"/>
      <c r="AG73" s="4">
        <v>10</v>
      </c>
      <c r="AH73" s="4">
        <v>100</v>
      </c>
      <c r="AI73" s="180" t="s">
        <v>75</v>
      </c>
    </row>
    <row r="74" spans="1:35" x14ac:dyDescent="0.35">
      <c r="A74" s="4">
        <v>9</v>
      </c>
      <c r="B74" s="4">
        <v>93</v>
      </c>
      <c r="C74" s="140" t="s">
        <v>75</v>
      </c>
      <c r="D74" s="1"/>
      <c r="E74" s="4">
        <v>9</v>
      </c>
      <c r="F74" s="4">
        <v>96</v>
      </c>
      <c r="G74" s="147" t="s">
        <v>25</v>
      </c>
      <c r="H74" s="1"/>
      <c r="I74" s="4">
        <v>9</v>
      </c>
      <c r="J74" s="4">
        <v>99</v>
      </c>
      <c r="K74" s="150" t="s">
        <v>30</v>
      </c>
      <c r="L74" s="1"/>
      <c r="M74" s="4">
        <v>9</v>
      </c>
      <c r="N74" s="4">
        <v>94</v>
      </c>
      <c r="O74" s="156" t="s">
        <v>76</v>
      </c>
      <c r="P74" s="1"/>
      <c r="Q74" s="4">
        <v>9</v>
      </c>
      <c r="R74" s="4">
        <v>99</v>
      </c>
      <c r="S74" s="160" t="s">
        <v>30</v>
      </c>
      <c r="T74" s="1"/>
      <c r="U74" s="4">
        <v>9</v>
      </c>
      <c r="V74" s="4">
        <v>100</v>
      </c>
      <c r="W74" s="166" t="s">
        <v>75</v>
      </c>
      <c r="X74" s="1"/>
      <c r="Y74" s="4">
        <v>9</v>
      </c>
      <c r="Z74" s="4">
        <v>96</v>
      </c>
      <c r="AA74" s="171" t="s">
        <v>75</v>
      </c>
      <c r="AB74" s="1"/>
      <c r="AC74" s="4">
        <v>9</v>
      </c>
      <c r="AD74" s="4">
        <v>99</v>
      </c>
      <c r="AE74" s="175" t="s">
        <v>30</v>
      </c>
      <c r="AF74" s="1"/>
      <c r="AG74" s="4">
        <v>9</v>
      </c>
      <c r="AH74" s="4">
        <v>98</v>
      </c>
      <c r="AI74" s="180" t="s">
        <v>75</v>
      </c>
    </row>
    <row r="75" spans="1:35" x14ac:dyDescent="0.35">
      <c r="A75" s="4">
        <v>8</v>
      </c>
      <c r="B75" s="4">
        <v>90</v>
      </c>
      <c r="C75" s="140" t="s">
        <v>75</v>
      </c>
      <c r="D75" s="1"/>
      <c r="E75" s="4">
        <v>8</v>
      </c>
      <c r="F75" s="4">
        <v>93</v>
      </c>
      <c r="G75" s="147" t="s">
        <v>25</v>
      </c>
      <c r="H75" s="1"/>
      <c r="I75" s="4">
        <v>8</v>
      </c>
      <c r="J75" s="4">
        <v>97</v>
      </c>
      <c r="K75" s="150" t="s">
        <v>30</v>
      </c>
      <c r="L75" s="1"/>
      <c r="M75" s="4">
        <v>8</v>
      </c>
      <c r="N75" s="4">
        <v>91</v>
      </c>
      <c r="O75" s="156" t="s">
        <v>76</v>
      </c>
      <c r="P75" s="1"/>
      <c r="Q75" s="4">
        <v>8</v>
      </c>
      <c r="R75" s="4">
        <v>97</v>
      </c>
      <c r="S75" s="160" t="s">
        <v>30</v>
      </c>
      <c r="T75" s="1"/>
      <c r="U75" s="4">
        <v>8</v>
      </c>
      <c r="V75" s="4">
        <v>97</v>
      </c>
      <c r="W75" s="166" t="s">
        <v>75</v>
      </c>
      <c r="X75" s="1"/>
      <c r="Y75" s="4">
        <v>8</v>
      </c>
      <c r="Z75" s="4">
        <v>93</v>
      </c>
      <c r="AA75" s="171" t="s">
        <v>75</v>
      </c>
      <c r="AB75" s="1"/>
      <c r="AC75" s="4">
        <v>8</v>
      </c>
      <c r="AD75" s="4">
        <v>96</v>
      </c>
      <c r="AE75" s="176" t="s">
        <v>75</v>
      </c>
      <c r="AF75" s="1"/>
      <c r="AG75" s="4">
        <v>8</v>
      </c>
      <c r="AH75" s="4">
        <v>95</v>
      </c>
      <c r="AI75" s="180" t="s">
        <v>75</v>
      </c>
    </row>
    <row r="76" spans="1:35" x14ac:dyDescent="0.35">
      <c r="A76" s="4">
        <v>7</v>
      </c>
      <c r="B76" s="4">
        <v>87</v>
      </c>
      <c r="C76" s="140" t="s">
        <v>75</v>
      </c>
      <c r="D76" s="1"/>
      <c r="E76" s="4">
        <v>7</v>
      </c>
      <c r="F76" s="4">
        <v>89</v>
      </c>
      <c r="G76" s="147" t="s">
        <v>25</v>
      </c>
      <c r="H76" s="1"/>
      <c r="I76" s="4">
        <v>7</v>
      </c>
      <c r="J76" s="4">
        <v>95</v>
      </c>
      <c r="K76" s="151" t="s">
        <v>75</v>
      </c>
      <c r="L76" s="1"/>
      <c r="M76" s="4">
        <v>7</v>
      </c>
      <c r="N76" s="4">
        <v>88</v>
      </c>
      <c r="O76" s="157" t="s">
        <v>25</v>
      </c>
      <c r="P76" s="1"/>
      <c r="Q76" s="4">
        <v>7</v>
      </c>
      <c r="R76" s="4">
        <v>94</v>
      </c>
      <c r="S76" s="161" t="s">
        <v>76</v>
      </c>
      <c r="T76" s="1"/>
      <c r="U76" s="4">
        <v>7</v>
      </c>
      <c r="V76" s="4">
        <v>95</v>
      </c>
      <c r="W76" s="166" t="s">
        <v>75</v>
      </c>
      <c r="X76" s="1"/>
      <c r="Y76" s="4">
        <v>7</v>
      </c>
      <c r="Z76" s="4">
        <v>91</v>
      </c>
      <c r="AA76" s="171" t="s">
        <v>75</v>
      </c>
      <c r="AB76" s="1"/>
      <c r="AC76" s="4">
        <v>7</v>
      </c>
      <c r="AD76" s="4">
        <v>93</v>
      </c>
      <c r="AE76" s="176" t="s">
        <v>75</v>
      </c>
      <c r="AF76" s="1"/>
      <c r="AG76" s="4">
        <v>7</v>
      </c>
      <c r="AH76" s="4">
        <v>93</v>
      </c>
      <c r="AI76" s="181" t="s">
        <v>25</v>
      </c>
    </row>
    <row r="77" spans="1:35" x14ac:dyDescent="0.35">
      <c r="A77" s="4">
        <v>6</v>
      </c>
      <c r="B77" s="4">
        <v>84</v>
      </c>
      <c r="C77" s="141" t="s">
        <v>25</v>
      </c>
      <c r="D77" s="1"/>
      <c r="E77" s="4">
        <v>6</v>
      </c>
      <c r="F77" s="4">
        <v>86</v>
      </c>
      <c r="G77" s="147" t="s">
        <v>25</v>
      </c>
      <c r="H77" s="1"/>
      <c r="I77" s="4">
        <v>6</v>
      </c>
      <c r="J77" s="4">
        <v>92</v>
      </c>
      <c r="K77" s="151" t="s">
        <v>75</v>
      </c>
      <c r="L77" s="1"/>
      <c r="M77" s="4">
        <v>6</v>
      </c>
      <c r="N77" s="4">
        <v>85</v>
      </c>
      <c r="O77" s="157" t="s">
        <v>25</v>
      </c>
      <c r="P77" s="1"/>
      <c r="Q77" s="4">
        <v>6</v>
      </c>
      <c r="R77" s="4">
        <v>91</v>
      </c>
      <c r="S77" s="161" t="s">
        <v>76</v>
      </c>
      <c r="T77" s="1"/>
      <c r="U77" s="4">
        <v>6</v>
      </c>
      <c r="V77" s="4">
        <v>93</v>
      </c>
      <c r="W77" s="166" t="s">
        <v>75</v>
      </c>
      <c r="X77" s="1"/>
      <c r="Y77" s="4">
        <v>6</v>
      </c>
      <c r="Z77" s="4">
        <v>88</v>
      </c>
      <c r="AA77" s="172" t="s">
        <v>25</v>
      </c>
      <c r="AB77" s="1"/>
      <c r="AC77" s="4">
        <v>6</v>
      </c>
      <c r="AD77" s="4">
        <v>90</v>
      </c>
      <c r="AE77" s="176" t="s">
        <v>75</v>
      </c>
      <c r="AF77" s="1"/>
      <c r="AG77" s="4">
        <v>6</v>
      </c>
      <c r="AH77" s="4">
        <v>91</v>
      </c>
      <c r="AI77" s="181" t="s">
        <v>25</v>
      </c>
    </row>
    <row r="78" spans="1:35" x14ac:dyDescent="0.35">
      <c r="A78" s="4">
        <v>5</v>
      </c>
      <c r="B78" s="4">
        <v>81</v>
      </c>
      <c r="C78" s="141" t="s">
        <v>25</v>
      </c>
      <c r="D78" s="1"/>
      <c r="E78" s="4">
        <v>5</v>
      </c>
      <c r="F78" s="4">
        <v>83</v>
      </c>
      <c r="G78" s="147" t="s">
        <v>25</v>
      </c>
      <c r="H78" s="1"/>
      <c r="I78" s="4">
        <v>5</v>
      </c>
      <c r="J78" s="4">
        <v>90</v>
      </c>
      <c r="K78" s="151" t="s">
        <v>75</v>
      </c>
      <c r="L78" s="1"/>
      <c r="M78" s="4">
        <v>5</v>
      </c>
      <c r="N78" s="4">
        <v>83</v>
      </c>
      <c r="O78" s="157" t="s">
        <v>25</v>
      </c>
      <c r="P78" s="1"/>
      <c r="Q78" s="4">
        <v>5</v>
      </c>
      <c r="R78" s="4">
        <v>88</v>
      </c>
      <c r="S78" s="161" t="s">
        <v>76</v>
      </c>
      <c r="T78" s="1"/>
      <c r="U78" s="4">
        <v>5</v>
      </c>
      <c r="V78" s="4">
        <v>90</v>
      </c>
      <c r="W78" s="167" t="s">
        <v>25</v>
      </c>
      <c r="X78" s="1"/>
      <c r="Y78" s="4">
        <v>5</v>
      </c>
      <c r="Z78" s="4">
        <v>85</v>
      </c>
      <c r="AA78" s="172" t="s">
        <v>25</v>
      </c>
      <c r="AB78" s="1"/>
      <c r="AC78" s="4">
        <v>5</v>
      </c>
      <c r="AD78" s="4">
        <v>87</v>
      </c>
      <c r="AE78" s="176" t="s">
        <v>75</v>
      </c>
      <c r="AF78" s="1"/>
      <c r="AG78" s="4">
        <v>5</v>
      </c>
      <c r="AH78" s="4">
        <v>89</v>
      </c>
      <c r="AI78" s="181" t="s">
        <v>25</v>
      </c>
    </row>
    <row r="79" spans="1:35" x14ac:dyDescent="0.35">
      <c r="A79" s="4">
        <v>4</v>
      </c>
      <c r="B79" s="4">
        <v>78</v>
      </c>
      <c r="C79" s="141" t="s">
        <v>25</v>
      </c>
      <c r="D79" s="1"/>
      <c r="E79" s="4">
        <v>4</v>
      </c>
      <c r="F79" s="4">
        <v>79</v>
      </c>
      <c r="G79" s="147" t="s">
        <v>25</v>
      </c>
      <c r="H79" s="1"/>
      <c r="I79" s="4">
        <v>4</v>
      </c>
      <c r="J79" s="4">
        <v>87</v>
      </c>
      <c r="K79" s="152" t="s">
        <v>25</v>
      </c>
      <c r="L79" s="1"/>
      <c r="M79" s="4">
        <v>4</v>
      </c>
      <c r="N79" s="4">
        <v>80</v>
      </c>
      <c r="O79" s="157" t="s">
        <v>25</v>
      </c>
      <c r="P79" s="1"/>
      <c r="Q79" s="4">
        <v>4</v>
      </c>
      <c r="R79" s="4">
        <v>85</v>
      </c>
      <c r="S79" s="162" t="s">
        <v>25</v>
      </c>
      <c r="T79" s="1"/>
      <c r="U79" s="4">
        <v>4</v>
      </c>
      <c r="V79" s="4">
        <v>88</v>
      </c>
      <c r="W79" s="167" t="s">
        <v>25</v>
      </c>
      <c r="X79" s="1"/>
      <c r="Y79" s="4">
        <v>4</v>
      </c>
      <c r="Z79" s="4">
        <v>82</v>
      </c>
      <c r="AA79" s="172" t="s">
        <v>25</v>
      </c>
      <c r="AB79" s="1"/>
      <c r="AC79" s="4">
        <v>4</v>
      </c>
      <c r="AD79" s="4">
        <v>84</v>
      </c>
      <c r="AE79" s="177" t="s">
        <v>25</v>
      </c>
      <c r="AF79" s="1"/>
      <c r="AG79" s="4">
        <v>4</v>
      </c>
      <c r="AH79" s="4">
        <v>86</v>
      </c>
      <c r="AI79" s="181" t="s">
        <v>25</v>
      </c>
    </row>
    <row r="80" spans="1:35" x14ac:dyDescent="0.35">
      <c r="A80" s="4">
        <v>3</v>
      </c>
      <c r="B80" s="4">
        <v>75</v>
      </c>
      <c r="C80" s="141" t="s">
        <v>25</v>
      </c>
      <c r="D80" s="1"/>
      <c r="E80" s="4">
        <v>3</v>
      </c>
      <c r="F80" s="4">
        <v>76</v>
      </c>
      <c r="G80" s="147" t="s">
        <v>25</v>
      </c>
      <c r="H80" s="1"/>
      <c r="I80" s="4">
        <v>3</v>
      </c>
      <c r="J80" s="4">
        <v>85</v>
      </c>
      <c r="K80" s="152" t="s">
        <v>25</v>
      </c>
      <c r="L80" s="1"/>
      <c r="M80" s="4">
        <v>3</v>
      </c>
      <c r="N80" s="4">
        <v>77</v>
      </c>
      <c r="O80" s="157" t="s">
        <v>25</v>
      </c>
      <c r="P80" s="1"/>
      <c r="Q80" s="4">
        <v>3</v>
      </c>
      <c r="R80" s="4">
        <v>82</v>
      </c>
      <c r="S80" s="162" t="s">
        <v>25</v>
      </c>
      <c r="T80" s="1"/>
      <c r="U80" s="4">
        <v>3</v>
      </c>
      <c r="V80" s="4">
        <v>86</v>
      </c>
      <c r="W80" s="167" t="s">
        <v>25</v>
      </c>
      <c r="X80" s="1"/>
      <c r="Y80" s="4">
        <v>3</v>
      </c>
      <c r="Z80" s="4">
        <v>79</v>
      </c>
      <c r="AA80" s="172" t="s">
        <v>25</v>
      </c>
      <c r="AB80" s="1"/>
      <c r="AC80" s="4">
        <v>3</v>
      </c>
      <c r="AD80" s="4">
        <v>81</v>
      </c>
      <c r="AE80" s="177" t="s">
        <v>25</v>
      </c>
      <c r="AF80" s="1"/>
      <c r="AG80" s="4">
        <v>3</v>
      </c>
      <c r="AH80" s="4">
        <v>84</v>
      </c>
      <c r="AI80" s="181" t="s">
        <v>25</v>
      </c>
    </row>
    <row r="81" spans="1:35" x14ac:dyDescent="0.35">
      <c r="A81" s="4">
        <v>2</v>
      </c>
      <c r="B81" s="4">
        <v>72</v>
      </c>
      <c r="C81" s="141" t="s">
        <v>25</v>
      </c>
      <c r="D81" s="1"/>
      <c r="E81" s="4">
        <v>2</v>
      </c>
      <c r="F81" s="4">
        <v>73</v>
      </c>
      <c r="G81" s="147" t="s">
        <v>25</v>
      </c>
      <c r="H81" s="1"/>
      <c r="I81" s="4">
        <v>2</v>
      </c>
      <c r="J81" s="4">
        <v>83</v>
      </c>
      <c r="K81" s="152" t="s">
        <v>25</v>
      </c>
      <c r="L81" s="1"/>
      <c r="M81" s="4">
        <v>2</v>
      </c>
      <c r="N81" s="4">
        <v>74</v>
      </c>
      <c r="O81" s="157" t="s">
        <v>25</v>
      </c>
      <c r="P81" s="1"/>
      <c r="Q81" s="4">
        <v>2</v>
      </c>
      <c r="R81" s="4">
        <v>79</v>
      </c>
      <c r="S81" s="162" t="s">
        <v>25</v>
      </c>
      <c r="T81" s="1"/>
      <c r="U81" s="4">
        <v>2</v>
      </c>
      <c r="V81" s="4">
        <v>83</v>
      </c>
      <c r="W81" s="167" t="s">
        <v>25</v>
      </c>
      <c r="X81" s="1"/>
      <c r="Y81" s="4">
        <v>2</v>
      </c>
      <c r="Z81" s="4">
        <v>76</v>
      </c>
      <c r="AA81" s="172" t="s">
        <v>25</v>
      </c>
      <c r="AB81" s="1"/>
      <c r="AC81" s="4">
        <v>2</v>
      </c>
      <c r="AD81" s="4">
        <v>78</v>
      </c>
      <c r="AE81" s="177" t="s">
        <v>25</v>
      </c>
      <c r="AF81" s="1"/>
      <c r="AG81" s="4">
        <v>2</v>
      </c>
      <c r="AH81" s="4">
        <v>82</v>
      </c>
      <c r="AI81" s="181" t="s">
        <v>25</v>
      </c>
    </row>
    <row r="82" spans="1:35" x14ac:dyDescent="0.35">
      <c r="A82" s="4">
        <v>1</v>
      </c>
      <c r="B82" s="4">
        <v>69</v>
      </c>
      <c r="C82" s="141" t="s">
        <v>25</v>
      </c>
      <c r="D82" s="1"/>
      <c r="E82" s="4">
        <v>1</v>
      </c>
      <c r="F82" s="4">
        <v>69</v>
      </c>
      <c r="G82" s="147" t="s">
        <v>25</v>
      </c>
      <c r="H82" s="1"/>
      <c r="I82" s="4">
        <v>1</v>
      </c>
      <c r="J82" s="4">
        <v>80</v>
      </c>
      <c r="K82" s="152" t="s">
        <v>25</v>
      </c>
      <c r="L82" s="1"/>
      <c r="M82" s="4">
        <v>1</v>
      </c>
      <c r="N82" s="4">
        <v>71</v>
      </c>
      <c r="O82" s="157" t="s">
        <v>25</v>
      </c>
      <c r="P82" s="1"/>
      <c r="Q82" s="4">
        <v>1</v>
      </c>
      <c r="R82" s="4">
        <v>77</v>
      </c>
      <c r="S82" s="162" t="s">
        <v>25</v>
      </c>
      <c r="T82" s="1"/>
      <c r="U82" s="4">
        <v>1</v>
      </c>
      <c r="V82" s="4">
        <v>81</v>
      </c>
      <c r="W82" s="167" t="s">
        <v>25</v>
      </c>
      <c r="X82" s="1"/>
      <c r="Y82" s="4">
        <v>1</v>
      </c>
      <c r="Z82" s="4">
        <v>73</v>
      </c>
      <c r="AA82" s="172" t="s">
        <v>25</v>
      </c>
      <c r="AB82" s="1"/>
      <c r="AC82" s="4">
        <v>1</v>
      </c>
      <c r="AD82" s="4">
        <v>75</v>
      </c>
      <c r="AE82" s="177" t="s">
        <v>25</v>
      </c>
      <c r="AF82" s="1"/>
      <c r="AG82" s="4">
        <v>1</v>
      </c>
      <c r="AH82" s="4">
        <v>80</v>
      </c>
      <c r="AI82" s="181" t="s">
        <v>25</v>
      </c>
    </row>
    <row r="83" spans="1:35" x14ac:dyDescent="0.35">
      <c r="A83" s="4">
        <v>0</v>
      </c>
      <c r="B83" s="9">
        <v>66</v>
      </c>
      <c r="C83" s="141" t="s">
        <v>25</v>
      </c>
      <c r="D83" s="1"/>
      <c r="E83" s="4">
        <v>0</v>
      </c>
      <c r="F83" s="4">
        <v>66</v>
      </c>
      <c r="G83" s="147" t="s">
        <v>25</v>
      </c>
      <c r="H83" s="1"/>
      <c r="I83" s="4">
        <v>0</v>
      </c>
      <c r="J83" s="4">
        <v>78</v>
      </c>
      <c r="K83" s="152" t="s">
        <v>25</v>
      </c>
      <c r="L83" s="1"/>
      <c r="M83" s="4">
        <v>0</v>
      </c>
      <c r="N83" s="4">
        <v>69</v>
      </c>
      <c r="O83" s="157" t="s">
        <v>25</v>
      </c>
      <c r="P83" s="1"/>
      <c r="Q83" s="4">
        <v>0</v>
      </c>
      <c r="R83" s="4">
        <v>74</v>
      </c>
      <c r="S83" s="162" t="s">
        <v>25</v>
      </c>
      <c r="T83" s="1"/>
      <c r="U83" s="4">
        <v>0</v>
      </c>
      <c r="V83" s="4">
        <v>79</v>
      </c>
      <c r="W83" s="167" t="s">
        <v>25</v>
      </c>
      <c r="X83" s="1"/>
      <c r="Y83" s="4">
        <v>0</v>
      </c>
      <c r="Z83" s="4">
        <v>71</v>
      </c>
      <c r="AA83" s="172" t="s">
        <v>25</v>
      </c>
      <c r="AB83" s="1"/>
      <c r="AC83" s="4">
        <v>0</v>
      </c>
      <c r="AD83" s="4">
        <v>72</v>
      </c>
      <c r="AE83" s="177" t="s">
        <v>25</v>
      </c>
      <c r="AF83" s="1"/>
      <c r="AG83" s="4">
        <v>0</v>
      </c>
      <c r="AH83" s="4">
        <v>77</v>
      </c>
      <c r="AI83" s="181" t="s">
        <v>25</v>
      </c>
    </row>
    <row r="86" spans="1:35" ht="15" customHeight="1" x14ac:dyDescent="0.35"/>
    <row r="87" spans="1:35" ht="15" customHeight="1" x14ac:dyDescent="0.35">
      <c r="A87" s="333" t="s">
        <v>67</v>
      </c>
      <c r="B87" s="334"/>
      <c r="C87" t="str">
        <f>IF(AND(IST!$N2 &gt;= 31,IST!$N2 &lt;= 35),"True","")</f>
        <v/>
      </c>
    </row>
    <row r="88" spans="1:35" x14ac:dyDescent="0.35">
      <c r="A88" s="335" t="s">
        <v>41</v>
      </c>
      <c r="B88" s="336"/>
      <c r="C88" s="337"/>
      <c r="D88" s="1"/>
      <c r="E88" s="330" t="s">
        <v>42</v>
      </c>
      <c r="F88" s="331"/>
      <c r="G88" s="332"/>
      <c r="H88" s="1"/>
      <c r="I88" s="330" t="s">
        <v>43</v>
      </c>
      <c r="J88" s="331"/>
      <c r="K88" s="332"/>
      <c r="L88" s="5"/>
      <c r="M88" s="331" t="s">
        <v>44</v>
      </c>
      <c r="N88" s="331"/>
      <c r="O88" s="332"/>
      <c r="P88" s="1"/>
      <c r="Q88" s="330" t="s">
        <v>45</v>
      </c>
      <c r="R88" s="331"/>
      <c r="S88" s="332"/>
      <c r="T88" s="1"/>
      <c r="U88" s="330" t="s">
        <v>46</v>
      </c>
      <c r="V88" s="331"/>
      <c r="W88" s="332"/>
      <c r="X88" s="1"/>
      <c r="Y88" s="330" t="s">
        <v>47</v>
      </c>
      <c r="Z88" s="331"/>
      <c r="AA88" s="332"/>
      <c r="AB88" s="1"/>
      <c r="AC88" s="330" t="s">
        <v>48</v>
      </c>
      <c r="AD88" s="331"/>
      <c r="AE88" s="332"/>
      <c r="AF88" s="1"/>
      <c r="AG88" s="330" t="s">
        <v>49</v>
      </c>
      <c r="AH88" s="331"/>
      <c r="AI88" s="332"/>
    </row>
    <row r="89" spans="1:35" x14ac:dyDescent="0.35">
      <c r="A89" s="6" t="s">
        <v>50</v>
      </c>
      <c r="B89" s="4" t="s">
        <v>51</v>
      </c>
      <c r="C89" s="4" t="s">
        <v>52</v>
      </c>
      <c r="D89" s="1"/>
      <c r="E89" s="6" t="s">
        <v>50</v>
      </c>
      <c r="F89" s="4" t="s">
        <v>51</v>
      </c>
      <c r="G89" s="4" t="s">
        <v>52</v>
      </c>
      <c r="H89" s="1"/>
      <c r="I89" s="4" t="s">
        <v>50</v>
      </c>
      <c r="J89" s="4" t="s">
        <v>51</v>
      </c>
      <c r="K89" s="4" t="s">
        <v>52</v>
      </c>
      <c r="L89" s="2"/>
      <c r="M89" s="6" t="s">
        <v>50</v>
      </c>
      <c r="N89" s="4" t="s">
        <v>51</v>
      </c>
      <c r="O89" s="4" t="s">
        <v>52</v>
      </c>
      <c r="P89" s="1"/>
      <c r="Q89" s="6" t="s">
        <v>50</v>
      </c>
      <c r="R89" s="4" t="s">
        <v>51</v>
      </c>
      <c r="S89" s="4" t="s">
        <v>52</v>
      </c>
      <c r="T89" s="1"/>
      <c r="U89" s="6" t="s">
        <v>50</v>
      </c>
      <c r="V89" s="4" t="s">
        <v>51</v>
      </c>
      <c r="W89" s="4" t="s">
        <v>52</v>
      </c>
      <c r="X89" s="1"/>
      <c r="Y89" s="6" t="s">
        <v>50</v>
      </c>
      <c r="Z89" s="4" t="s">
        <v>51</v>
      </c>
      <c r="AA89" s="4" t="s">
        <v>52</v>
      </c>
      <c r="AB89" s="1"/>
      <c r="AC89" s="6" t="s">
        <v>50</v>
      </c>
      <c r="AD89" s="4" t="s">
        <v>51</v>
      </c>
      <c r="AE89" s="4" t="s">
        <v>52</v>
      </c>
      <c r="AF89" s="1"/>
      <c r="AG89" s="6" t="s">
        <v>50</v>
      </c>
      <c r="AH89" s="4" t="s">
        <v>51</v>
      </c>
      <c r="AI89" s="4" t="s">
        <v>52</v>
      </c>
    </row>
    <row r="90" spans="1:35" x14ac:dyDescent="0.35">
      <c r="A90" s="6">
        <v>99</v>
      </c>
      <c r="B90" s="4">
        <v>999</v>
      </c>
      <c r="C90" s="7" t="s">
        <v>27</v>
      </c>
      <c r="D90" s="1"/>
      <c r="E90" s="6">
        <v>99</v>
      </c>
      <c r="F90" s="4">
        <v>999</v>
      </c>
      <c r="G90" s="7" t="s">
        <v>27</v>
      </c>
      <c r="H90" s="1"/>
      <c r="I90" s="4">
        <v>99</v>
      </c>
      <c r="J90" s="4">
        <v>999</v>
      </c>
      <c r="K90" s="7" t="s">
        <v>27</v>
      </c>
      <c r="L90" s="2"/>
      <c r="M90" s="6">
        <v>99</v>
      </c>
      <c r="N90" s="4">
        <v>999</v>
      </c>
      <c r="O90" s="4" t="s">
        <v>27</v>
      </c>
      <c r="P90" s="1"/>
      <c r="Q90" s="6">
        <v>99</v>
      </c>
      <c r="R90" s="4">
        <v>99</v>
      </c>
      <c r="S90" s="7" t="s">
        <v>27</v>
      </c>
      <c r="T90" s="1"/>
      <c r="U90" s="6">
        <v>99</v>
      </c>
      <c r="V90" s="4">
        <v>999</v>
      </c>
      <c r="W90" s="4" t="s">
        <v>27</v>
      </c>
      <c r="X90" s="1"/>
      <c r="Y90" s="6">
        <v>99</v>
      </c>
      <c r="Z90" s="4">
        <v>999</v>
      </c>
      <c r="AA90" s="4" t="s">
        <v>27</v>
      </c>
      <c r="AB90" s="1"/>
      <c r="AC90" s="6">
        <v>99</v>
      </c>
      <c r="AD90" s="4">
        <v>999</v>
      </c>
      <c r="AE90" s="7" t="s">
        <v>27</v>
      </c>
      <c r="AF90" s="1"/>
      <c r="AG90" s="6">
        <v>99</v>
      </c>
      <c r="AH90" s="4">
        <v>999</v>
      </c>
      <c r="AI90" s="4" t="s">
        <v>27</v>
      </c>
    </row>
    <row r="91" spans="1:35" x14ac:dyDescent="0.35">
      <c r="A91" s="4">
        <v>20</v>
      </c>
      <c r="B91" s="4">
        <v>127</v>
      </c>
      <c r="C91" s="182" t="s">
        <v>27</v>
      </c>
      <c r="D91" s="1"/>
      <c r="E91" s="4">
        <v>20</v>
      </c>
      <c r="F91" s="4">
        <v>134</v>
      </c>
      <c r="G91" s="187" t="s">
        <v>27</v>
      </c>
      <c r="H91" s="1"/>
      <c r="I91" s="4">
        <v>20</v>
      </c>
      <c r="J91" s="4" t="s">
        <v>68</v>
      </c>
      <c r="K91" s="193" t="s">
        <v>27</v>
      </c>
      <c r="L91" s="1"/>
      <c r="M91" s="4">
        <v>20</v>
      </c>
      <c r="N91" s="4" t="s">
        <v>57</v>
      </c>
      <c r="O91" s="198" t="s">
        <v>27</v>
      </c>
      <c r="P91" s="1"/>
      <c r="Q91" s="4">
        <v>20</v>
      </c>
      <c r="R91" s="4" t="s">
        <v>54</v>
      </c>
      <c r="S91" s="203" t="s">
        <v>27</v>
      </c>
      <c r="T91" s="1"/>
      <c r="U91" s="4">
        <v>20</v>
      </c>
      <c r="V91" s="4">
        <v>127</v>
      </c>
      <c r="W91" s="207" t="s">
        <v>27</v>
      </c>
      <c r="X91" s="1"/>
      <c r="Y91" s="4">
        <v>20</v>
      </c>
      <c r="Z91" s="4">
        <v>129</v>
      </c>
      <c r="AA91" s="212" t="s">
        <v>27</v>
      </c>
      <c r="AB91" s="1"/>
      <c r="AC91" s="4">
        <v>20</v>
      </c>
      <c r="AD91" s="4">
        <v>130</v>
      </c>
      <c r="AE91" s="217" t="s">
        <v>27</v>
      </c>
      <c r="AF91" s="1"/>
      <c r="AG91" s="4">
        <v>20</v>
      </c>
      <c r="AH91" s="4">
        <v>124</v>
      </c>
      <c r="AI91" s="222" t="s">
        <v>27</v>
      </c>
    </row>
    <row r="92" spans="1:35" x14ac:dyDescent="0.35">
      <c r="A92" s="4">
        <v>19</v>
      </c>
      <c r="B92" s="4">
        <v>124</v>
      </c>
      <c r="C92" s="182" t="s">
        <v>27</v>
      </c>
      <c r="D92" s="1"/>
      <c r="E92" s="4">
        <v>19</v>
      </c>
      <c r="F92" s="4">
        <v>131</v>
      </c>
      <c r="G92" s="188" t="s">
        <v>27</v>
      </c>
      <c r="H92" s="1"/>
      <c r="I92" s="4">
        <v>19</v>
      </c>
      <c r="J92" s="4">
        <v>123</v>
      </c>
      <c r="K92" s="193" t="s">
        <v>27</v>
      </c>
      <c r="L92" s="1"/>
      <c r="M92" s="4">
        <v>19</v>
      </c>
      <c r="N92" s="4">
        <v>123</v>
      </c>
      <c r="O92" s="198" t="s">
        <v>27</v>
      </c>
      <c r="P92" s="1"/>
      <c r="Q92" s="4">
        <v>19</v>
      </c>
      <c r="R92" s="4">
        <v>126</v>
      </c>
      <c r="S92" s="203" t="s">
        <v>27</v>
      </c>
      <c r="T92" s="1"/>
      <c r="U92" s="4">
        <v>19</v>
      </c>
      <c r="V92" s="4">
        <v>125</v>
      </c>
      <c r="W92" s="208" t="s">
        <v>76</v>
      </c>
      <c r="X92" s="1"/>
      <c r="Y92" s="4">
        <v>19</v>
      </c>
      <c r="Z92" s="4">
        <v>126</v>
      </c>
      <c r="AA92" s="212" t="s">
        <v>27</v>
      </c>
      <c r="AB92" s="1"/>
      <c r="AC92" s="4">
        <v>19</v>
      </c>
      <c r="AD92" s="4">
        <v>127</v>
      </c>
      <c r="AE92" s="217" t="s">
        <v>27</v>
      </c>
      <c r="AF92" s="1"/>
      <c r="AG92" s="4">
        <v>19</v>
      </c>
      <c r="AH92" s="4">
        <v>122</v>
      </c>
      <c r="AI92" s="223" t="s">
        <v>76</v>
      </c>
    </row>
    <row r="93" spans="1:35" x14ac:dyDescent="0.35">
      <c r="A93" s="4">
        <v>18</v>
      </c>
      <c r="B93" s="4">
        <v>121</v>
      </c>
      <c r="C93" s="182" t="s">
        <v>27</v>
      </c>
      <c r="D93" s="1"/>
      <c r="E93" s="4">
        <v>18</v>
      </c>
      <c r="F93" s="4">
        <v>127</v>
      </c>
      <c r="G93" s="188" t="s">
        <v>27</v>
      </c>
      <c r="H93" s="1"/>
      <c r="I93" s="4">
        <v>18</v>
      </c>
      <c r="J93" s="4">
        <v>121</v>
      </c>
      <c r="K93" s="193" t="s">
        <v>27</v>
      </c>
      <c r="L93" s="1"/>
      <c r="M93" s="4">
        <v>18</v>
      </c>
      <c r="N93" s="4">
        <v>120</v>
      </c>
      <c r="O93" s="198" t="s">
        <v>27</v>
      </c>
      <c r="P93" s="1"/>
      <c r="Q93" s="4">
        <v>18</v>
      </c>
      <c r="R93" s="4">
        <v>124</v>
      </c>
      <c r="S93" s="203" t="s">
        <v>27</v>
      </c>
      <c r="T93" s="1"/>
      <c r="U93" s="4">
        <v>18</v>
      </c>
      <c r="V93" s="4">
        <v>122</v>
      </c>
      <c r="W93" s="208" t="s">
        <v>76</v>
      </c>
      <c r="X93" s="1"/>
      <c r="Y93" s="4">
        <v>18</v>
      </c>
      <c r="Z93" s="4">
        <v>123</v>
      </c>
      <c r="AA93" s="212" t="s">
        <v>27</v>
      </c>
      <c r="AB93" s="1"/>
      <c r="AC93" s="4">
        <v>18</v>
      </c>
      <c r="AD93" s="4">
        <v>124</v>
      </c>
      <c r="AE93" s="217" t="s">
        <v>27</v>
      </c>
      <c r="AF93" s="1"/>
      <c r="AG93" s="4">
        <v>18</v>
      </c>
      <c r="AH93" s="4">
        <v>119</v>
      </c>
      <c r="AI93" s="223" t="s">
        <v>76</v>
      </c>
    </row>
    <row r="94" spans="1:35" x14ac:dyDescent="0.35">
      <c r="A94" s="4">
        <v>17</v>
      </c>
      <c r="B94" s="4">
        <v>118</v>
      </c>
      <c r="C94" s="182" t="s">
        <v>27</v>
      </c>
      <c r="D94" s="1"/>
      <c r="E94" s="4">
        <v>17</v>
      </c>
      <c r="F94" s="4">
        <v>124</v>
      </c>
      <c r="G94" s="189" t="s">
        <v>76</v>
      </c>
      <c r="H94" s="1"/>
      <c r="I94" s="4">
        <v>17</v>
      </c>
      <c r="J94" s="4">
        <v>119</v>
      </c>
      <c r="K94" s="193" t="s">
        <v>27</v>
      </c>
      <c r="L94" s="1"/>
      <c r="M94" s="4">
        <v>17</v>
      </c>
      <c r="N94" s="4">
        <v>117</v>
      </c>
      <c r="O94" s="198" t="s">
        <v>27</v>
      </c>
      <c r="P94" s="1"/>
      <c r="Q94" s="4">
        <v>17</v>
      </c>
      <c r="R94" s="4">
        <v>121</v>
      </c>
      <c r="S94" s="203" t="s">
        <v>27</v>
      </c>
      <c r="T94" s="1"/>
      <c r="U94" s="4">
        <v>17</v>
      </c>
      <c r="V94" s="4">
        <v>120</v>
      </c>
      <c r="W94" s="208" t="s">
        <v>76</v>
      </c>
      <c r="X94" s="1"/>
      <c r="Y94" s="4">
        <v>17</v>
      </c>
      <c r="Z94" s="4">
        <v>120</v>
      </c>
      <c r="AA94" s="212" t="s">
        <v>27</v>
      </c>
      <c r="AB94" s="1"/>
      <c r="AC94" s="4">
        <v>17</v>
      </c>
      <c r="AD94" s="4">
        <v>122</v>
      </c>
      <c r="AE94" s="217" t="s">
        <v>27</v>
      </c>
      <c r="AF94" s="1"/>
      <c r="AG94" s="4">
        <v>17</v>
      </c>
      <c r="AH94" s="4">
        <v>117</v>
      </c>
      <c r="AI94" s="223" t="s">
        <v>76</v>
      </c>
    </row>
    <row r="95" spans="1:35" x14ac:dyDescent="0.35">
      <c r="A95" s="4">
        <v>16</v>
      </c>
      <c r="B95" s="4">
        <v>115</v>
      </c>
      <c r="C95" s="182" t="s">
        <v>27</v>
      </c>
      <c r="D95" s="1"/>
      <c r="E95" s="4">
        <v>16</v>
      </c>
      <c r="F95" s="4">
        <v>121</v>
      </c>
      <c r="G95" s="189" t="s">
        <v>76</v>
      </c>
      <c r="H95" s="1"/>
      <c r="I95" s="4">
        <v>16</v>
      </c>
      <c r="J95" s="4">
        <v>117</v>
      </c>
      <c r="K95" s="193" t="s">
        <v>27</v>
      </c>
      <c r="L95" s="1"/>
      <c r="M95" s="4">
        <v>16</v>
      </c>
      <c r="N95" s="4">
        <v>115</v>
      </c>
      <c r="O95" s="198" t="s">
        <v>27</v>
      </c>
      <c r="P95" s="1"/>
      <c r="Q95" s="4">
        <v>16</v>
      </c>
      <c r="R95" s="4">
        <v>118</v>
      </c>
      <c r="S95" s="203" t="s">
        <v>27</v>
      </c>
      <c r="T95" s="1"/>
      <c r="U95" s="4">
        <v>16</v>
      </c>
      <c r="V95" s="4">
        <v>117</v>
      </c>
      <c r="W95" s="208" t="s">
        <v>76</v>
      </c>
      <c r="X95" s="1"/>
      <c r="Y95" s="4">
        <v>16</v>
      </c>
      <c r="Z95" s="4">
        <v>118</v>
      </c>
      <c r="AA95" s="213" t="s">
        <v>76</v>
      </c>
      <c r="AB95" s="1"/>
      <c r="AC95" s="4">
        <v>16</v>
      </c>
      <c r="AD95" s="4">
        <v>119</v>
      </c>
      <c r="AE95" s="217" t="s">
        <v>27</v>
      </c>
      <c r="AF95" s="1"/>
      <c r="AG95" s="4">
        <v>16</v>
      </c>
      <c r="AH95" s="4">
        <v>115</v>
      </c>
      <c r="AI95" s="223" t="s">
        <v>30</v>
      </c>
    </row>
    <row r="96" spans="1:35" x14ac:dyDescent="0.35">
      <c r="A96" s="4">
        <v>15</v>
      </c>
      <c r="B96" s="4">
        <v>112</v>
      </c>
      <c r="C96" s="183" t="s">
        <v>76</v>
      </c>
      <c r="D96" s="1"/>
      <c r="E96" s="4">
        <v>15</v>
      </c>
      <c r="F96" s="4">
        <v>117</v>
      </c>
      <c r="G96" s="189" t="s">
        <v>76</v>
      </c>
      <c r="H96" s="1"/>
      <c r="I96" s="4">
        <v>15</v>
      </c>
      <c r="J96" s="4">
        <v>114</v>
      </c>
      <c r="K96" s="194" t="s">
        <v>76</v>
      </c>
      <c r="L96" s="1"/>
      <c r="M96" s="4">
        <v>15</v>
      </c>
      <c r="N96" s="4">
        <v>112</v>
      </c>
      <c r="O96" s="198" t="s">
        <v>27</v>
      </c>
      <c r="P96" s="1"/>
      <c r="Q96" s="4">
        <v>15</v>
      </c>
      <c r="R96" s="4">
        <v>116</v>
      </c>
      <c r="S96" s="203" t="s">
        <v>27</v>
      </c>
      <c r="T96" s="1"/>
      <c r="U96" s="4">
        <v>15</v>
      </c>
      <c r="V96" s="4">
        <v>115</v>
      </c>
      <c r="W96" s="208" t="s">
        <v>76</v>
      </c>
      <c r="X96" s="1"/>
      <c r="Y96" s="4">
        <v>15</v>
      </c>
      <c r="Z96" s="4">
        <v>115</v>
      </c>
      <c r="AA96" s="213" t="s">
        <v>76</v>
      </c>
      <c r="AB96" s="1"/>
      <c r="AC96" s="4">
        <v>15</v>
      </c>
      <c r="AD96" s="4">
        <v>116</v>
      </c>
      <c r="AE96" s="218" t="s">
        <v>76</v>
      </c>
      <c r="AF96" s="1"/>
      <c r="AG96" s="4">
        <v>15</v>
      </c>
      <c r="AH96" s="4">
        <v>113</v>
      </c>
      <c r="AI96" s="223" t="s">
        <v>30</v>
      </c>
    </row>
    <row r="97" spans="1:35" x14ac:dyDescent="0.35">
      <c r="A97" s="4">
        <v>14</v>
      </c>
      <c r="B97" s="4">
        <v>109</v>
      </c>
      <c r="C97" s="183" t="s">
        <v>76</v>
      </c>
      <c r="D97" s="1"/>
      <c r="E97" s="4">
        <v>14</v>
      </c>
      <c r="F97" s="4">
        <v>114</v>
      </c>
      <c r="G97" s="190" t="s">
        <v>30</v>
      </c>
      <c r="H97" s="1"/>
      <c r="I97" s="4">
        <v>14</v>
      </c>
      <c r="J97" s="4">
        <v>112</v>
      </c>
      <c r="K97" s="194" t="s">
        <v>76</v>
      </c>
      <c r="L97" s="1"/>
      <c r="M97" s="4">
        <v>14</v>
      </c>
      <c r="N97" s="4">
        <v>109</v>
      </c>
      <c r="O97" s="199" t="s">
        <v>75</v>
      </c>
      <c r="P97" s="1"/>
      <c r="Q97" s="4">
        <v>14</v>
      </c>
      <c r="R97" s="4">
        <v>113</v>
      </c>
      <c r="S97" s="204" t="s">
        <v>75</v>
      </c>
      <c r="T97" s="1"/>
      <c r="U97" s="4">
        <v>14</v>
      </c>
      <c r="V97" s="4">
        <v>113</v>
      </c>
      <c r="W97" s="209" t="s">
        <v>30</v>
      </c>
      <c r="X97" s="1"/>
      <c r="Y97" s="4">
        <v>14</v>
      </c>
      <c r="Z97" s="4">
        <v>112</v>
      </c>
      <c r="AA97" s="213" t="s">
        <v>76</v>
      </c>
      <c r="AB97" s="1"/>
      <c r="AC97" s="4">
        <v>14</v>
      </c>
      <c r="AD97" s="4">
        <v>113</v>
      </c>
      <c r="AE97" s="218" t="s">
        <v>76</v>
      </c>
      <c r="AF97" s="1"/>
      <c r="AG97" s="4">
        <v>14</v>
      </c>
      <c r="AH97" s="4">
        <v>110</v>
      </c>
      <c r="AI97" s="223" t="s">
        <v>30</v>
      </c>
    </row>
    <row r="98" spans="1:35" x14ac:dyDescent="0.35">
      <c r="A98" s="4">
        <v>13</v>
      </c>
      <c r="B98" s="4">
        <v>106</v>
      </c>
      <c r="C98" s="183" t="s">
        <v>76</v>
      </c>
      <c r="D98" s="1"/>
      <c r="E98" s="4">
        <v>13</v>
      </c>
      <c r="F98" s="4">
        <v>111</v>
      </c>
      <c r="G98" s="190" t="s">
        <v>30</v>
      </c>
      <c r="H98" s="1"/>
      <c r="I98" s="4">
        <v>13</v>
      </c>
      <c r="J98" s="4">
        <v>110</v>
      </c>
      <c r="K98" s="194" t="s">
        <v>76</v>
      </c>
      <c r="L98" s="1"/>
      <c r="M98" s="4">
        <v>13</v>
      </c>
      <c r="N98" s="4">
        <v>106</v>
      </c>
      <c r="O98" s="199" t="s">
        <v>75</v>
      </c>
      <c r="P98" s="1"/>
      <c r="Q98" s="4">
        <v>13</v>
      </c>
      <c r="R98" s="4">
        <v>110</v>
      </c>
      <c r="S98" s="204" t="s">
        <v>75</v>
      </c>
      <c r="T98" s="1"/>
      <c r="U98" s="4">
        <v>13</v>
      </c>
      <c r="V98" s="4">
        <v>110</v>
      </c>
      <c r="W98" s="209" t="s">
        <v>30</v>
      </c>
      <c r="X98" s="1"/>
      <c r="Y98" s="4">
        <v>13</v>
      </c>
      <c r="Z98" s="4">
        <v>109</v>
      </c>
      <c r="AA98" s="213" t="s">
        <v>76</v>
      </c>
      <c r="AB98" s="1"/>
      <c r="AC98" s="4">
        <v>13</v>
      </c>
      <c r="AD98" s="4">
        <v>111</v>
      </c>
      <c r="AE98" s="218" t="s">
        <v>76</v>
      </c>
      <c r="AF98" s="1"/>
      <c r="AG98" s="4">
        <v>13</v>
      </c>
      <c r="AH98" s="4">
        <v>108</v>
      </c>
      <c r="AI98" s="223" t="s">
        <v>30</v>
      </c>
    </row>
    <row r="99" spans="1:35" x14ac:dyDescent="0.35">
      <c r="A99" s="4">
        <v>12</v>
      </c>
      <c r="B99" s="4">
        <v>103</v>
      </c>
      <c r="C99" s="184" t="s">
        <v>30</v>
      </c>
      <c r="D99" s="1"/>
      <c r="E99" s="4">
        <v>12</v>
      </c>
      <c r="F99" s="4">
        <v>107</v>
      </c>
      <c r="G99" s="191" t="s">
        <v>75</v>
      </c>
      <c r="H99" s="1"/>
      <c r="I99" s="4">
        <v>12</v>
      </c>
      <c r="J99" s="4">
        <v>108</v>
      </c>
      <c r="K99" s="194" t="s">
        <v>76</v>
      </c>
      <c r="L99" s="1"/>
      <c r="M99" s="4">
        <v>12</v>
      </c>
      <c r="N99" s="4">
        <v>103</v>
      </c>
      <c r="O99" s="200" t="s">
        <v>30</v>
      </c>
      <c r="P99" s="1"/>
      <c r="Q99" s="4">
        <v>12</v>
      </c>
      <c r="R99" s="4">
        <v>108</v>
      </c>
      <c r="S99" s="204" t="s">
        <v>75</v>
      </c>
      <c r="T99" s="1"/>
      <c r="U99" s="4">
        <v>12</v>
      </c>
      <c r="V99" s="4">
        <v>108</v>
      </c>
      <c r="W99" s="209" t="s">
        <v>30</v>
      </c>
      <c r="X99" s="1"/>
      <c r="Y99" s="4">
        <v>12</v>
      </c>
      <c r="Z99" s="4">
        <v>106</v>
      </c>
      <c r="AA99" s="214" t="s">
        <v>30</v>
      </c>
      <c r="AB99" s="1"/>
      <c r="AC99" s="4">
        <v>12</v>
      </c>
      <c r="AD99" s="4">
        <v>108</v>
      </c>
      <c r="AE99" s="218" t="s">
        <v>76</v>
      </c>
      <c r="AF99" s="1"/>
      <c r="AG99" s="4">
        <v>12</v>
      </c>
      <c r="AH99" s="4">
        <v>106</v>
      </c>
      <c r="AI99" s="223" t="s">
        <v>30</v>
      </c>
    </row>
    <row r="100" spans="1:35" x14ac:dyDescent="0.35">
      <c r="A100" s="4">
        <v>11</v>
      </c>
      <c r="B100" s="4">
        <v>100</v>
      </c>
      <c r="C100" s="184" t="s">
        <v>30</v>
      </c>
      <c r="D100" s="1"/>
      <c r="E100" s="4">
        <v>11</v>
      </c>
      <c r="F100" s="4">
        <v>104</v>
      </c>
      <c r="G100" s="191" t="s">
        <v>75</v>
      </c>
      <c r="H100" s="1"/>
      <c r="I100" s="4">
        <v>11</v>
      </c>
      <c r="J100" s="4">
        <v>105</v>
      </c>
      <c r="K100" s="195" t="s">
        <v>30</v>
      </c>
      <c r="L100" s="1"/>
      <c r="M100" s="4">
        <v>11</v>
      </c>
      <c r="N100" s="4">
        <v>100</v>
      </c>
      <c r="O100" s="200" t="s">
        <v>30</v>
      </c>
      <c r="P100" s="1"/>
      <c r="Q100" s="4">
        <v>11</v>
      </c>
      <c r="R100" s="4">
        <v>105</v>
      </c>
      <c r="S100" s="205" t="s">
        <v>30</v>
      </c>
      <c r="T100" s="1"/>
      <c r="U100" s="4">
        <v>11</v>
      </c>
      <c r="V100" s="4">
        <v>105</v>
      </c>
      <c r="W100" s="209" t="s">
        <v>30</v>
      </c>
      <c r="X100" s="1"/>
      <c r="Y100" s="4">
        <v>11</v>
      </c>
      <c r="Z100" s="4">
        <v>104</v>
      </c>
      <c r="AA100" s="214" t="s">
        <v>30</v>
      </c>
      <c r="AB100" s="1"/>
      <c r="AC100" s="4">
        <v>11</v>
      </c>
      <c r="AD100" s="4">
        <v>105</v>
      </c>
      <c r="AE100" s="219" t="s">
        <v>30</v>
      </c>
      <c r="AF100" s="1"/>
      <c r="AG100" s="4">
        <v>11</v>
      </c>
      <c r="AH100" s="4">
        <v>103</v>
      </c>
      <c r="AI100" s="224" t="s">
        <v>75</v>
      </c>
    </row>
    <row r="101" spans="1:35" x14ac:dyDescent="0.35">
      <c r="A101" s="4">
        <v>10</v>
      </c>
      <c r="B101" s="4">
        <v>97</v>
      </c>
      <c r="C101" s="184" t="s">
        <v>30</v>
      </c>
      <c r="D101" s="1"/>
      <c r="E101" s="4">
        <v>10</v>
      </c>
      <c r="F101" s="4">
        <v>101</v>
      </c>
      <c r="G101" s="191" t="s">
        <v>75</v>
      </c>
      <c r="H101" s="1"/>
      <c r="I101" s="4">
        <v>10</v>
      </c>
      <c r="J101" s="4">
        <v>103</v>
      </c>
      <c r="K101" s="195" t="s">
        <v>30</v>
      </c>
      <c r="L101" s="1"/>
      <c r="M101" s="4">
        <v>10</v>
      </c>
      <c r="N101" s="4">
        <v>97</v>
      </c>
      <c r="O101" s="201" t="s">
        <v>76</v>
      </c>
      <c r="P101" s="1"/>
      <c r="Q101" s="4">
        <v>10</v>
      </c>
      <c r="R101" s="4">
        <v>102</v>
      </c>
      <c r="S101" s="205" t="s">
        <v>30</v>
      </c>
      <c r="T101" s="1"/>
      <c r="U101" s="4">
        <v>10</v>
      </c>
      <c r="V101" s="4">
        <v>103</v>
      </c>
      <c r="W101" s="210" t="s">
        <v>75</v>
      </c>
      <c r="X101" s="1"/>
      <c r="Y101" s="4">
        <v>10</v>
      </c>
      <c r="Z101" s="4">
        <v>101</v>
      </c>
      <c r="AA101" s="214" t="s">
        <v>30</v>
      </c>
      <c r="AB101" s="1"/>
      <c r="AC101" s="4">
        <v>10</v>
      </c>
      <c r="AD101" s="4">
        <v>102</v>
      </c>
      <c r="AE101" s="219" t="s">
        <v>30</v>
      </c>
      <c r="AF101" s="1"/>
      <c r="AG101" s="4">
        <v>10</v>
      </c>
      <c r="AH101" s="4">
        <v>101</v>
      </c>
      <c r="AI101" s="224" t="s">
        <v>75</v>
      </c>
    </row>
    <row r="102" spans="1:35" x14ac:dyDescent="0.35">
      <c r="A102" s="4">
        <v>9</v>
      </c>
      <c r="B102" s="4">
        <v>94</v>
      </c>
      <c r="C102" s="185" t="s">
        <v>75</v>
      </c>
      <c r="D102" s="1"/>
      <c r="E102" s="4">
        <v>9</v>
      </c>
      <c r="F102" s="4">
        <v>97</v>
      </c>
      <c r="G102" s="192" t="s">
        <v>25</v>
      </c>
      <c r="H102" s="1"/>
      <c r="I102" s="4">
        <v>9</v>
      </c>
      <c r="J102" s="4">
        <v>101</v>
      </c>
      <c r="K102" s="195" t="s">
        <v>30</v>
      </c>
      <c r="L102" s="1"/>
      <c r="M102" s="4">
        <v>9</v>
      </c>
      <c r="N102" s="4">
        <v>95</v>
      </c>
      <c r="O102" s="201" t="s">
        <v>76</v>
      </c>
      <c r="P102" s="1"/>
      <c r="Q102" s="4">
        <v>9</v>
      </c>
      <c r="R102" s="4">
        <v>99</v>
      </c>
      <c r="S102" s="205" t="s">
        <v>30</v>
      </c>
      <c r="T102" s="1"/>
      <c r="U102" s="4">
        <v>9</v>
      </c>
      <c r="V102" s="4">
        <v>101</v>
      </c>
      <c r="W102" s="210" t="s">
        <v>75</v>
      </c>
      <c r="X102" s="1"/>
      <c r="Y102" s="4">
        <v>9</v>
      </c>
      <c r="Z102" s="4">
        <v>98</v>
      </c>
      <c r="AA102" s="215" t="s">
        <v>75</v>
      </c>
      <c r="AB102" s="1"/>
      <c r="AC102" s="4">
        <v>9</v>
      </c>
      <c r="AD102" s="4">
        <v>99</v>
      </c>
      <c r="AE102" s="219" t="s">
        <v>30</v>
      </c>
      <c r="AF102" s="1"/>
      <c r="AG102" s="4">
        <v>9</v>
      </c>
      <c r="AH102" s="4">
        <v>99</v>
      </c>
      <c r="AI102" s="224" t="s">
        <v>75</v>
      </c>
    </row>
    <row r="103" spans="1:35" x14ac:dyDescent="0.35">
      <c r="A103" s="4">
        <v>8</v>
      </c>
      <c r="B103" s="4">
        <v>91</v>
      </c>
      <c r="C103" s="185" t="s">
        <v>75</v>
      </c>
      <c r="D103" s="1"/>
      <c r="E103" s="4">
        <v>8</v>
      </c>
      <c r="F103" s="4">
        <v>94</v>
      </c>
      <c r="G103" s="192" t="s">
        <v>25</v>
      </c>
      <c r="H103" s="1"/>
      <c r="I103" s="4">
        <v>8</v>
      </c>
      <c r="J103" s="4">
        <v>98</v>
      </c>
      <c r="K103" s="195" t="s">
        <v>30</v>
      </c>
      <c r="L103" s="1"/>
      <c r="M103" s="4">
        <v>8</v>
      </c>
      <c r="N103" s="4">
        <v>92</v>
      </c>
      <c r="O103" s="201" t="s">
        <v>76</v>
      </c>
      <c r="P103" s="1"/>
      <c r="Q103" s="4">
        <v>8</v>
      </c>
      <c r="R103" s="4">
        <v>97</v>
      </c>
      <c r="S103" s="205" t="s">
        <v>30</v>
      </c>
      <c r="T103" s="1"/>
      <c r="U103" s="4">
        <v>8</v>
      </c>
      <c r="V103" s="4">
        <v>98</v>
      </c>
      <c r="W103" s="210" t="s">
        <v>75</v>
      </c>
      <c r="X103" s="1"/>
      <c r="Y103" s="4">
        <v>8</v>
      </c>
      <c r="Z103" s="4">
        <v>95</v>
      </c>
      <c r="AA103" s="215" t="s">
        <v>75</v>
      </c>
      <c r="AB103" s="1"/>
      <c r="AC103" s="4">
        <v>8</v>
      </c>
      <c r="AD103" s="4">
        <v>97</v>
      </c>
      <c r="AE103" s="220" t="s">
        <v>75</v>
      </c>
      <c r="AF103" s="1"/>
      <c r="AG103" s="4">
        <v>8</v>
      </c>
      <c r="AH103" s="4">
        <v>97</v>
      </c>
      <c r="AI103" s="224" t="s">
        <v>75</v>
      </c>
    </row>
    <row r="104" spans="1:35" x14ac:dyDescent="0.35">
      <c r="A104" s="4">
        <v>7</v>
      </c>
      <c r="B104" s="4">
        <v>89</v>
      </c>
      <c r="C104" s="185" t="s">
        <v>75</v>
      </c>
      <c r="D104" s="1"/>
      <c r="E104" s="4">
        <v>7</v>
      </c>
      <c r="F104" s="4">
        <v>91</v>
      </c>
      <c r="G104" s="192" t="s">
        <v>25</v>
      </c>
      <c r="H104" s="1"/>
      <c r="I104" s="4">
        <v>7</v>
      </c>
      <c r="J104" s="4">
        <v>96</v>
      </c>
      <c r="K104" s="196" t="s">
        <v>75</v>
      </c>
      <c r="L104" s="1"/>
      <c r="M104" s="4">
        <v>7</v>
      </c>
      <c r="N104" s="4">
        <v>89</v>
      </c>
      <c r="O104" s="202" t="s">
        <v>25</v>
      </c>
      <c r="P104" s="1"/>
      <c r="Q104" s="4">
        <v>7</v>
      </c>
      <c r="R104" s="4">
        <v>94</v>
      </c>
      <c r="S104" s="206" t="s">
        <v>76</v>
      </c>
      <c r="T104" s="1"/>
      <c r="U104" s="4">
        <v>7</v>
      </c>
      <c r="V104" s="4">
        <v>96</v>
      </c>
      <c r="W104" s="210" t="s">
        <v>75</v>
      </c>
      <c r="X104" s="1"/>
      <c r="Y104" s="4">
        <v>7</v>
      </c>
      <c r="Z104" s="4">
        <v>93</v>
      </c>
      <c r="AA104" s="215" t="s">
        <v>75</v>
      </c>
      <c r="AB104" s="1"/>
      <c r="AC104" s="4">
        <v>7</v>
      </c>
      <c r="AD104" s="4">
        <v>94</v>
      </c>
      <c r="AE104" s="220" t="s">
        <v>75</v>
      </c>
      <c r="AF104" s="1"/>
      <c r="AG104" s="4">
        <v>7</v>
      </c>
      <c r="AH104" s="4">
        <v>94</v>
      </c>
      <c r="AI104" s="225" t="s">
        <v>25</v>
      </c>
    </row>
    <row r="105" spans="1:35" x14ac:dyDescent="0.35">
      <c r="A105" s="4">
        <v>6</v>
      </c>
      <c r="B105" s="4">
        <v>86</v>
      </c>
      <c r="C105" s="186" t="s">
        <v>25</v>
      </c>
      <c r="D105" s="1"/>
      <c r="E105" s="4">
        <v>6</v>
      </c>
      <c r="F105" s="4">
        <v>87</v>
      </c>
      <c r="G105" s="192" t="s">
        <v>25</v>
      </c>
      <c r="H105" s="1"/>
      <c r="I105" s="4">
        <v>6</v>
      </c>
      <c r="J105" s="4">
        <v>94</v>
      </c>
      <c r="K105" s="196" t="s">
        <v>75</v>
      </c>
      <c r="L105" s="1"/>
      <c r="M105" s="4">
        <v>6</v>
      </c>
      <c r="N105" s="4">
        <v>86</v>
      </c>
      <c r="O105" s="202" t="s">
        <v>25</v>
      </c>
      <c r="P105" s="1"/>
      <c r="Q105" s="4">
        <v>6</v>
      </c>
      <c r="R105" s="4">
        <v>91</v>
      </c>
      <c r="S105" s="206" t="s">
        <v>76</v>
      </c>
      <c r="T105" s="1"/>
      <c r="U105" s="4">
        <v>6</v>
      </c>
      <c r="V105" s="4">
        <v>94</v>
      </c>
      <c r="W105" s="210" t="s">
        <v>75</v>
      </c>
      <c r="X105" s="1"/>
      <c r="Y105" s="4">
        <v>6</v>
      </c>
      <c r="Z105" s="4">
        <v>90</v>
      </c>
      <c r="AA105" s="216" t="s">
        <v>25</v>
      </c>
      <c r="AB105" s="1"/>
      <c r="AC105" s="4">
        <v>6</v>
      </c>
      <c r="AD105" s="4">
        <v>91</v>
      </c>
      <c r="AE105" s="220" t="s">
        <v>75</v>
      </c>
      <c r="AF105" s="1"/>
      <c r="AG105" s="4">
        <v>6</v>
      </c>
      <c r="AH105" s="4">
        <v>92</v>
      </c>
      <c r="AI105" s="225" t="s">
        <v>25</v>
      </c>
    </row>
    <row r="106" spans="1:35" x14ac:dyDescent="0.35">
      <c r="A106" s="4">
        <v>5</v>
      </c>
      <c r="B106" s="4">
        <v>83</v>
      </c>
      <c r="C106" s="186" t="s">
        <v>25</v>
      </c>
      <c r="D106" s="1"/>
      <c r="E106" s="4">
        <v>5</v>
      </c>
      <c r="F106" s="4">
        <v>84</v>
      </c>
      <c r="G106" s="192" t="s">
        <v>25</v>
      </c>
      <c r="H106" s="1"/>
      <c r="I106" s="4">
        <v>5</v>
      </c>
      <c r="J106" s="4">
        <v>92</v>
      </c>
      <c r="K106" s="196" t="s">
        <v>75</v>
      </c>
      <c r="L106" s="1"/>
      <c r="M106" s="4">
        <v>5</v>
      </c>
      <c r="N106" s="4">
        <v>83</v>
      </c>
      <c r="O106" s="202" t="s">
        <v>25</v>
      </c>
      <c r="P106" s="1"/>
      <c r="Q106" s="4">
        <v>5</v>
      </c>
      <c r="R106" s="4">
        <v>89</v>
      </c>
      <c r="S106" s="206" t="s">
        <v>76</v>
      </c>
      <c r="T106" s="1"/>
      <c r="U106" s="4">
        <v>5</v>
      </c>
      <c r="V106" s="4">
        <v>91</v>
      </c>
      <c r="W106" s="211" t="s">
        <v>25</v>
      </c>
      <c r="X106" s="1"/>
      <c r="Y106" s="4">
        <v>5</v>
      </c>
      <c r="Z106" s="4">
        <v>87</v>
      </c>
      <c r="AA106" s="216" t="s">
        <v>25</v>
      </c>
      <c r="AB106" s="1"/>
      <c r="AC106" s="4">
        <v>5</v>
      </c>
      <c r="AD106" s="4">
        <v>88</v>
      </c>
      <c r="AE106" s="220" t="s">
        <v>75</v>
      </c>
      <c r="AF106" s="1"/>
      <c r="AG106" s="4">
        <v>5</v>
      </c>
      <c r="AH106" s="4">
        <v>90</v>
      </c>
      <c r="AI106" s="225" t="s">
        <v>25</v>
      </c>
    </row>
    <row r="107" spans="1:35" x14ac:dyDescent="0.35">
      <c r="A107" s="4">
        <v>4</v>
      </c>
      <c r="B107" s="4">
        <v>80</v>
      </c>
      <c r="C107" s="186" t="s">
        <v>25</v>
      </c>
      <c r="D107" s="1"/>
      <c r="E107" s="4">
        <v>4</v>
      </c>
      <c r="F107" s="4">
        <v>81</v>
      </c>
      <c r="G107" s="192" t="s">
        <v>25</v>
      </c>
      <c r="H107" s="1"/>
      <c r="I107" s="4">
        <v>4</v>
      </c>
      <c r="J107" s="4">
        <v>89</v>
      </c>
      <c r="K107" s="197" t="s">
        <v>25</v>
      </c>
      <c r="L107" s="1"/>
      <c r="M107" s="4">
        <v>4</v>
      </c>
      <c r="N107" s="4">
        <v>80</v>
      </c>
      <c r="O107" s="202" t="s">
        <v>25</v>
      </c>
      <c r="P107" s="1"/>
      <c r="Q107" s="4">
        <v>4</v>
      </c>
      <c r="R107" s="4">
        <v>86</v>
      </c>
      <c r="S107" s="46" t="s">
        <v>25</v>
      </c>
      <c r="T107" s="1"/>
      <c r="U107" s="4">
        <v>4</v>
      </c>
      <c r="V107" s="4">
        <v>89</v>
      </c>
      <c r="W107" s="211" t="s">
        <v>25</v>
      </c>
      <c r="X107" s="1"/>
      <c r="Y107" s="4">
        <v>4</v>
      </c>
      <c r="Z107" s="4">
        <v>84</v>
      </c>
      <c r="AA107" s="216" t="s">
        <v>25</v>
      </c>
      <c r="AB107" s="1"/>
      <c r="AC107" s="4">
        <v>4</v>
      </c>
      <c r="AD107" s="4">
        <v>86</v>
      </c>
      <c r="AE107" s="221" t="s">
        <v>25</v>
      </c>
      <c r="AF107" s="1"/>
      <c r="AG107" s="4">
        <v>4</v>
      </c>
      <c r="AH107" s="4">
        <v>88</v>
      </c>
      <c r="AI107" s="225" t="s">
        <v>25</v>
      </c>
    </row>
    <row r="108" spans="1:35" x14ac:dyDescent="0.35">
      <c r="A108" s="4">
        <v>3</v>
      </c>
      <c r="B108" s="4">
        <v>77</v>
      </c>
      <c r="C108" s="186" t="s">
        <v>25</v>
      </c>
      <c r="D108" s="1"/>
      <c r="E108" s="4">
        <v>3</v>
      </c>
      <c r="F108" s="4">
        <v>77</v>
      </c>
      <c r="G108" s="192" t="s">
        <v>25</v>
      </c>
      <c r="H108" s="1"/>
      <c r="I108" s="4">
        <v>3</v>
      </c>
      <c r="J108" s="4">
        <v>87</v>
      </c>
      <c r="K108" s="197" t="s">
        <v>25</v>
      </c>
      <c r="L108" s="1"/>
      <c r="M108" s="4">
        <v>3</v>
      </c>
      <c r="N108" s="4">
        <v>77</v>
      </c>
      <c r="O108" s="202" t="s">
        <v>25</v>
      </c>
      <c r="P108" s="1"/>
      <c r="Q108" s="4">
        <v>3</v>
      </c>
      <c r="R108" s="4">
        <v>83</v>
      </c>
      <c r="S108" s="46" t="s">
        <v>25</v>
      </c>
      <c r="T108" s="1"/>
      <c r="U108" s="4">
        <v>3</v>
      </c>
      <c r="V108" s="4">
        <v>86</v>
      </c>
      <c r="W108" s="211" t="s">
        <v>25</v>
      </c>
      <c r="X108" s="1"/>
      <c r="Y108" s="4">
        <v>3</v>
      </c>
      <c r="Z108" s="4">
        <v>81</v>
      </c>
      <c r="AA108" s="216" t="s">
        <v>25</v>
      </c>
      <c r="AB108" s="1"/>
      <c r="AC108" s="4">
        <v>3</v>
      </c>
      <c r="AD108" s="4">
        <v>83</v>
      </c>
      <c r="AE108" s="221" t="s">
        <v>25</v>
      </c>
      <c r="AF108" s="1"/>
      <c r="AG108" s="4">
        <v>3</v>
      </c>
      <c r="AH108" s="4">
        <v>85</v>
      </c>
      <c r="AI108" s="225" t="s">
        <v>25</v>
      </c>
    </row>
    <row r="109" spans="1:35" x14ac:dyDescent="0.35">
      <c r="A109" s="4">
        <v>2</v>
      </c>
      <c r="B109" s="4">
        <v>74</v>
      </c>
      <c r="C109" s="186" t="s">
        <v>25</v>
      </c>
      <c r="D109" s="1"/>
      <c r="E109" s="4">
        <v>2</v>
      </c>
      <c r="F109" s="4">
        <v>74</v>
      </c>
      <c r="G109" s="192" t="s">
        <v>25</v>
      </c>
      <c r="H109" s="1"/>
      <c r="I109" s="4">
        <v>2</v>
      </c>
      <c r="J109" s="4">
        <v>85</v>
      </c>
      <c r="K109" s="197" t="s">
        <v>25</v>
      </c>
      <c r="L109" s="1"/>
      <c r="M109" s="4">
        <v>2</v>
      </c>
      <c r="N109" s="4">
        <v>75</v>
      </c>
      <c r="O109" s="202" t="s">
        <v>25</v>
      </c>
      <c r="P109" s="1"/>
      <c r="Q109" s="4">
        <v>2</v>
      </c>
      <c r="R109" s="4">
        <v>81</v>
      </c>
      <c r="S109" s="46" t="s">
        <v>25</v>
      </c>
      <c r="T109" s="1"/>
      <c r="U109" s="4">
        <v>2</v>
      </c>
      <c r="V109" s="4">
        <v>84</v>
      </c>
      <c r="W109" s="211" t="s">
        <v>25</v>
      </c>
      <c r="X109" s="1"/>
      <c r="Y109" s="4">
        <v>2</v>
      </c>
      <c r="Z109" s="4">
        <v>79</v>
      </c>
      <c r="AA109" s="216" t="s">
        <v>25</v>
      </c>
      <c r="AB109" s="1"/>
      <c r="AC109" s="4">
        <v>2</v>
      </c>
      <c r="AD109" s="4">
        <v>80</v>
      </c>
      <c r="AE109" s="221" t="s">
        <v>25</v>
      </c>
      <c r="AF109" s="1"/>
      <c r="AG109" s="4">
        <v>2</v>
      </c>
      <c r="AH109" s="4">
        <v>83</v>
      </c>
      <c r="AI109" s="225" t="s">
        <v>25</v>
      </c>
    </row>
    <row r="110" spans="1:35" x14ac:dyDescent="0.35">
      <c r="A110" s="4">
        <v>1</v>
      </c>
      <c r="B110" s="4">
        <v>71</v>
      </c>
      <c r="C110" s="186" t="s">
        <v>25</v>
      </c>
      <c r="D110" s="1"/>
      <c r="E110" s="4">
        <v>1</v>
      </c>
      <c r="F110" s="4">
        <v>71</v>
      </c>
      <c r="G110" s="192" t="s">
        <v>25</v>
      </c>
      <c r="H110" s="1"/>
      <c r="I110" s="4">
        <v>1</v>
      </c>
      <c r="J110" s="4">
        <v>83</v>
      </c>
      <c r="K110" s="197" t="s">
        <v>25</v>
      </c>
      <c r="L110" s="1"/>
      <c r="M110" s="4">
        <v>1</v>
      </c>
      <c r="N110" s="4">
        <v>72</v>
      </c>
      <c r="O110" s="202" t="s">
        <v>25</v>
      </c>
      <c r="P110" s="1"/>
      <c r="Q110" s="4">
        <v>1</v>
      </c>
      <c r="R110" s="4">
        <v>78</v>
      </c>
      <c r="S110" s="46" t="s">
        <v>25</v>
      </c>
      <c r="T110" s="1"/>
      <c r="U110" s="4">
        <v>1</v>
      </c>
      <c r="V110" s="4">
        <v>82</v>
      </c>
      <c r="W110" s="211" t="s">
        <v>25</v>
      </c>
      <c r="X110" s="1"/>
      <c r="Y110" s="4">
        <v>1</v>
      </c>
      <c r="Z110" s="4">
        <v>76</v>
      </c>
      <c r="AA110" s="216" t="s">
        <v>25</v>
      </c>
      <c r="AB110" s="1"/>
      <c r="AC110" s="4">
        <v>1</v>
      </c>
      <c r="AD110" s="4">
        <v>77</v>
      </c>
      <c r="AE110" s="221" t="s">
        <v>25</v>
      </c>
      <c r="AF110" s="1"/>
      <c r="AG110" s="4">
        <v>1</v>
      </c>
      <c r="AH110" s="4">
        <v>81</v>
      </c>
      <c r="AI110" s="225" t="s">
        <v>25</v>
      </c>
    </row>
    <row r="111" spans="1:35" x14ac:dyDescent="0.35">
      <c r="A111" s="4">
        <v>0</v>
      </c>
      <c r="B111" s="9">
        <v>68</v>
      </c>
      <c r="C111" s="186" t="s">
        <v>25</v>
      </c>
      <c r="D111" s="1"/>
      <c r="E111" s="4">
        <v>0</v>
      </c>
      <c r="F111" s="4">
        <v>67</v>
      </c>
      <c r="G111" s="192" t="s">
        <v>25</v>
      </c>
      <c r="H111" s="1"/>
      <c r="I111" s="4">
        <v>0</v>
      </c>
      <c r="J111" s="4">
        <v>80</v>
      </c>
      <c r="K111" s="197" t="s">
        <v>25</v>
      </c>
      <c r="L111" s="1"/>
      <c r="M111" s="4">
        <v>0</v>
      </c>
      <c r="N111" s="4">
        <v>69</v>
      </c>
      <c r="O111" s="202" t="s">
        <v>25</v>
      </c>
      <c r="P111" s="1"/>
      <c r="Q111" s="4">
        <v>0</v>
      </c>
      <c r="R111" s="4">
        <v>75</v>
      </c>
      <c r="S111" s="46" t="s">
        <v>25</v>
      </c>
      <c r="T111" s="1"/>
      <c r="U111" s="4">
        <v>0</v>
      </c>
      <c r="V111" s="4">
        <v>79</v>
      </c>
      <c r="W111" s="211" t="s">
        <v>25</v>
      </c>
      <c r="X111" s="1"/>
      <c r="Y111" s="4">
        <v>0</v>
      </c>
      <c r="Z111" s="4">
        <v>73</v>
      </c>
      <c r="AA111" s="216" t="s">
        <v>25</v>
      </c>
      <c r="AB111" s="1"/>
      <c r="AC111" s="4">
        <v>0</v>
      </c>
      <c r="AD111" s="4">
        <v>74</v>
      </c>
      <c r="AE111" s="221" t="s">
        <v>25</v>
      </c>
      <c r="AF111" s="1"/>
      <c r="AG111" s="4">
        <v>0</v>
      </c>
      <c r="AH111" s="4">
        <v>78</v>
      </c>
      <c r="AI111" s="225" t="s">
        <v>25</v>
      </c>
    </row>
    <row r="114" spans="1:35" ht="15" customHeight="1" x14ac:dyDescent="0.35"/>
    <row r="115" spans="1:35" ht="15" customHeight="1" x14ac:dyDescent="0.35">
      <c r="A115" s="333" t="s">
        <v>69</v>
      </c>
      <c r="B115" s="334"/>
      <c r="C115" t="str">
        <f>IF(AND(IST!$N2 &gt;= 36,IST!$N2 &lt;= 40),"True","")</f>
        <v/>
      </c>
    </row>
    <row r="116" spans="1:35" x14ac:dyDescent="0.35">
      <c r="A116" s="335" t="s">
        <v>41</v>
      </c>
      <c r="B116" s="336"/>
      <c r="C116" s="337"/>
      <c r="D116" s="1"/>
      <c r="E116" s="330" t="s">
        <v>42</v>
      </c>
      <c r="F116" s="331"/>
      <c r="G116" s="332"/>
      <c r="H116" s="1"/>
      <c r="I116" s="330" t="s">
        <v>43</v>
      </c>
      <c r="J116" s="331"/>
      <c r="K116" s="332"/>
      <c r="L116" s="5"/>
      <c r="M116" s="331" t="s">
        <v>44</v>
      </c>
      <c r="N116" s="331"/>
      <c r="O116" s="332"/>
      <c r="P116" s="1"/>
      <c r="Q116" s="330" t="s">
        <v>45</v>
      </c>
      <c r="R116" s="331"/>
      <c r="S116" s="332"/>
      <c r="T116" s="1"/>
      <c r="U116" s="330" t="s">
        <v>46</v>
      </c>
      <c r="V116" s="331"/>
      <c r="W116" s="332"/>
      <c r="X116" s="1"/>
      <c r="Y116" s="330" t="s">
        <v>47</v>
      </c>
      <c r="Z116" s="331"/>
      <c r="AA116" s="332"/>
      <c r="AB116" s="1"/>
      <c r="AC116" s="330" t="s">
        <v>48</v>
      </c>
      <c r="AD116" s="331"/>
      <c r="AE116" s="332"/>
      <c r="AF116" s="1"/>
      <c r="AG116" s="330" t="s">
        <v>49</v>
      </c>
      <c r="AH116" s="331"/>
      <c r="AI116" s="332"/>
    </row>
    <row r="117" spans="1:35" x14ac:dyDescent="0.35">
      <c r="A117" s="6" t="s">
        <v>50</v>
      </c>
      <c r="B117" s="4" t="s">
        <v>51</v>
      </c>
      <c r="C117" s="4" t="s">
        <v>52</v>
      </c>
      <c r="D117" s="1"/>
      <c r="E117" s="6" t="s">
        <v>50</v>
      </c>
      <c r="F117" s="4" t="s">
        <v>51</v>
      </c>
      <c r="G117" s="4" t="s">
        <v>52</v>
      </c>
      <c r="H117" s="1"/>
      <c r="I117" s="4" t="s">
        <v>50</v>
      </c>
      <c r="J117" s="4" t="s">
        <v>51</v>
      </c>
      <c r="K117" s="4" t="s">
        <v>52</v>
      </c>
      <c r="L117" s="2"/>
      <c r="M117" s="6" t="s">
        <v>50</v>
      </c>
      <c r="N117" s="4" t="s">
        <v>51</v>
      </c>
      <c r="O117" s="4" t="s">
        <v>52</v>
      </c>
      <c r="P117" s="1"/>
      <c r="Q117" s="6" t="s">
        <v>50</v>
      </c>
      <c r="R117" s="4" t="s">
        <v>51</v>
      </c>
      <c r="S117" s="4" t="s">
        <v>52</v>
      </c>
      <c r="T117" s="1"/>
      <c r="U117" s="6" t="s">
        <v>50</v>
      </c>
      <c r="V117" s="4" t="s">
        <v>51</v>
      </c>
      <c r="W117" s="4" t="s">
        <v>52</v>
      </c>
      <c r="X117" s="1"/>
      <c r="Y117" s="6" t="s">
        <v>50</v>
      </c>
      <c r="Z117" s="4" t="s">
        <v>51</v>
      </c>
      <c r="AA117" s="4" t="s">
        <v>52</v>
      </c>
      <c r="AB117" s="1"/>
      <c r="AC117" s="6" t="s">
        <v>50</v>
      </c>
      <c r="AD117" s="4" t="s">
        <v>51</v>
      </c>
      <c r="AE117" s="4" t="s">
        <v>52</v>
      </c>
      <c r="AF117" s="1"/>
      <c r="AG117" s="6" t="s">
        <v>50</v>
      </c>
      <c r="AH117" s="4" t="s">
        <v>51</v>
      </c>
      <c r="AI117" s="4" t="s">
        <v>52</v>
      </c>
    </row>
    <row r="118" spans="1:35" x14ac:dyDescent="0.35">
      <c r="A118" s="6">
        <v>99</v>
      </c>
      <c r="B118" s="4">
        <v>999</v>
      </c>
      <c r="C118" s="7" t="s">
        <v>27</v>
      </c>
      <c r="D118" s="1"/>
      <c r="E118" s="6">
        <v>99</v>
      </c>
      <c r="F118" s="4">
        <v>999</v>
      </c>
      <c r="G118" s="7" t="s">
        <v>27</v>
      </c>
      <c r="H118" s="1"/>
      <c r="I118" s="4">
        <v>99</v>
      </c>
      <c r="J118" s="4">
        <v>999</v>
      </c>
      <c r="K118" s="7" t="s">
        <v>27</v>
      </c>
      <c r="L118" s="2"/>
      <c r="M118" s="6">
        <v>99</v>
      </c>
      <c r="N118" s="4">
        <v>999</v>
      </c>
      <c r="O118" s="4" t="s">
        <v>27</v>
      </c>
      <c r="P118" s="1"/>
      <c r="Q118" s="6">
        <v>99</v>
      </c>
      <c r="R118" s="4">
        <v>99</v>
      </c>
      <c r="S118" s="7" t="s">
        <v>27</v>
      </c>
      <c r="T118" s="1"/>
      <c r="U118" s="6">
        <v>99</v>
      </c>
      <c r="V118" s="4">
        <v>999</v>
      </c>
      <c r="W118" s="4" t="s">
        <v>27</v>
      </c>
      <c r="X118" s="1"/>
      <c r="Y118" s="6">
        <v>99</v>
      </c>
      <c r="Z118" s="4">
        <v>999</v>
      </c>
      <c r="AA118" s="4" t="s">
        <v>27</v>
      </c>
      <c r="AB118" s="1"/>
      <c r="AC118" s="6">
        <v>99</v>
      </c>
      <c r="AD118" s="4">
        <v>999</v>
      </c>
      <c r="AE118" s="7" t="s">
        <v>27</v>
      </c>
      <c r="AF118" s="1"/>
      <c r="AG118" s="6">
        <v>99</v>
      </c>
      <c r="AH118" s="4">
        <v>999</v>
      </c>
      <c r="AI118" s="4" t="s">
        <v>27</v>
      </c>
    </row>
    <row r="119" spans="1:35" x14ac:dyDescent="0.35">
      <c r="A119" s="4">
        <v>20</v>
      </c>
      <c r="B119" s="4">
        <v>128</v>
      </c>
      <c r="C119" s="226" t="s">
        <v>27</v>
      </c>
      <c r="D119" s="1"/>
      <c r="E119" s="4">
        <v>20</v>
      </c>
      <c r="F119" s="4">
        <v>133</v>
      </c>
      <c r="G119" s="231" t="s">
        <v>27</v>
      </c>
      <c r="H119" s="1"/>
      <c r="I119" s="4">
        <v>20</v>
      </c>
      <c r="J119" s="4" t="s">
        <v>61</v>
      </c>
      <c r="K119" s="237" t="s">
        <v>27</v>
      </c>
      <c r="L119" s="1"/>
      <c r="M119" s="4">
        <v>20</v>
      </c>
      <c r="N119" s="4" t="s">
        <v>66</v>
      </c>
      <c r="O119" s="242" t="s">
        <v>27</v>
      </c>
      <c r="P119" s="1"/>
      <c r="Q119" s="4">
        <v>20</v>
      </c>
      <c r="R119" s="4">
        <v>131</v>
      </c>
      <c r="S119" s="247" t="s">
        <v>27</v>
      </c>
      <c r="T119" s="1"/>
      <c r="U119" s="4">
        <v>20</v>
      </c>
      <c r="V119" s="4">
        <v>126</v>
      </c>
      <c r="W119" s="252" t="s">
        <v>27</v>
      </c>
      <c r="X119" s="1"/>
      <c r="Y119" s="4">
        <v>20</v>
      </c>
      <c r="Z119" s="4" t="s">
        <v>70</v>
      </c>
      <c r="AA119" s="257" t="s">
        <v>27</v>
      </c>
      <c r="AB119" s="1"/>
      <c r="AC119" s="4">
        <v>20</v>
      </c>
      <c r="AD119" s="4" t="s">
        <v>71</v>
      </c>
      <c r="AE119" s="262" t="s">
        <v>27</v>
      </c>
      <c r="AF119" s="1"/>
      <c r="AG119" s="4">
        <v>20</v>
      </c>
      <c r="AH119" s="4" t="s">
        <v>61</v>
      </c>
      <c r="AI119" s="267" t="s">
        <v>27</v>
      </c>
    </row>
    <row r="120" spans="1:35" x14ac:dyDescent="0.35">
      <c r="A120" s="4">
        <v>19</v>
      </c>
      <c r="B120" s="4">
        <v>125</v>
      </c>
      <c r="C120" s="226" t="s">
        <v>27</v>
      </c>
      <c r="D120" s="1"/>
      <c r="E120" s="4">
        <v>19</v>
      </c>
      <c r="F120" s="4">
        <v>130</v>
      </c>
      <c r="G120" s="232" t="s">
        <v>27</v>
      </c>
      <c r="H120" s="1"/>
      <c r="I120" s="4">
        <v>19</v>
      </c>
      <c r="J120" s="4">
        <v>125</v>
      </c>
      <c r="K120" s="237" t="s">
        <v>27</v>
      </c>
      <c r="L120" s="1"/>
      <c r="M120" s="4">
        <v>19</v>
      </c>
      <c r="N120" s="4">
        <v>125</v>
      </c>
      <c r="O120" s="242" t="s">
        <v>27</v>
      </c>
      <c r="P120" s="1"/>
      <c r="Q120" s="4">
        <v>19</v>
      </c>
      <c r="R120" s="4">
        <v>128</v>
      </c>
      <c r="S120" s="247" t="s">
        <v>27</v>
      </c>
      <c r="T120" s="1"/>
      <c r="U120" s="4">
        <v>19</v>
      </c>
      <c r="V120" s="4">
        <v>124</v>
      </c>
      <c r="W120" s="253" t="s">
        <v>76</v>
      </c>
      <c r="X120" s="1"/>
      <c r="Y120" s="4">
        <v>19</v>
      </c>
      <c r="Z120" s="4">
        <v>129</v>
      </c>
      <c r="AA120" s="257" t="s">
        <v>27</v>
      </c>
      <c r="AB120" s="1"/>
      <c r="AC120" s="4">
        <v>19</v>
      </c>
      <c r="AD120" s="4">
        <v>129</v>
      </c>
      <c r="AE120" s="262" t="s">
        <v>27</v>
      </c>
      <c r="AF120" s="1"/>
      <c r="AG120" s="4">
        <v>19</v>
      </c>
      <c r="AH120" s="4">
        <v>124</v>
      </c>
      <c r="AI120" s="268" t="s">
        <v>76</v>
      </c>
    </row>
    <row r="121" spans="1:35" x14ac:dyDescent="0.35">
      <c r="A121" s="4">
        <v>18</v>
      </c>
      <c r="B121" s="4">
        <v>122</v>
      </c>
      <c r="C121" s="226" t="s">
        <v>27</v>
      </c>
      <c r="D121" s="1"/>
      <c r="E121" s="4">
        <v>18</v>
      </c>
      <c r="F121" s="4">
        <v>127</v>
      </c>
      <c r="G121" s="232" t="s">
        <v>27</v>
      </c>
      <c r="H121" s="1"/>
      <c r="I121" s="4">
        <v>18</v>
      </c>
      <c r="J121" s="4">
        <v>122</v>
      </c>
      <c r="K121" s="237" t="s">
        <v>27</v>
      </c>
      <c r="L121" s="1"/>
      <c r="M121" s="4">
        <v>18</v>
      </c>
      <c r="N121" s="4">
        <v>122</v>
      </c>
      <c r="O121" s="242" t="s">
        <v>27</v>
      </c>
      <c r="P121" s="1"/>
      <c r="Q121" s="4">
        <v>18</v>
      </c>
      <c r="R121" s="4">
        <v>125</v>
      </c>
      <c r="S121" s="247" t="s">
        <v>27</v>
      </c>
      <c r="T121" s="1"/>
      <c r="U121" s="4">
        <v>18</v>
      </c>
      <c r="V121" s="4">
        <v>121</v>
      </c>
      <c r="W121" s="253" t="s">
        <v>76</v>
      </c>
      <c r="X121" s="1"/>
      <c r="Y121" s="4">
        <v>18</v>
      </c>
      <c r="Z121" s="4">
        <v>126</v>
      </c>
      <c r="AA121" s="257" t="s">
        <v>27</v>
      </c>
      <c r="AB121" s="1"/>
      <c r="AC121" s="4">
        <v>18</v>
      </c>
      <c r="AD121" s="4">
        <v>126</v>
      </c>
      <c r="AE121" s="262" t="s">
        <v>27</v>
      </c>
      <c r="AF121" s="1"/>
      <c r="AG121" s="4">
        <v>18</v>
      </c>
      <c r="AH121" s="4">
        <v>122</v>
      </c>
      <c r="AI121" s="268" t="s">
        <v>76</v>
      </c>
    </row>
    <row r="122" spans="1:35" x14ac:dyDescent="0.35">
      <c r="A122" s="4">
        <v>17</v>
      </c>
      <c r="B122" s="4">
        <v>119</v>
      </c>
      <c r="C122" s="226" t="s">
        <v>27</v>
      </c>
      <c r="D122" s="1"/>
      <c r="E122" s="4">
        <v>17</v>
      </c>
      <c r="F122" s="4">
        <v>124</v>
      </c>
      <c r="G122" s="233" t="s">
        <v>76</v>
      </c>
      <c r="H122" s="1"/>
      <c r="I122" s="4">
        <v>17</v>
      </c>
      <c r="J122" s="4">
        <v>120</v>
      </c>
      <c r="K122" s="237" t="s">
        <v>27</v>
      </c>
      <c r="L122" s="1"/>
      <c r="M122" s="4">
        <v>17</v>
      </c>
      <c r="N122" s="4">
        <v>119</v>
      </c>
      <c r="O122" s="242" t="s">
        <v>27</v>
      </c>
      <c r="P122" s="1"/>
      <c r="Q122" s="4">
        <v>17</v>
      </c>
      <c r="R122" s="4">
        <v>122</v>
      </c>
      <c r="S122" s="247" t="s">
        <v>27</v>
      </c>
      <c r="T122" s="1"/>
      <c r="U122" s="4">
        <v>17</v>
      </c>
      <c r="V122" s="4">
        <v>119</v>
      </c>
      <c r="W122" s="253" t="s">
        <v>76</v>
      </c>
      <c r="X122" s="1"/>
      <c r="Y122" s="4">
        <v>17</v>
      </c>
      <c r="Z122" s="4">
        <v>123</v>
      </c>
      <c r="AA122" s="257" t="s">
        <v>27</v>
      </c>
      <c r="AB122" s="1"/>
      <c r="AC122" s="4">
        <v>17</v>
      </c>
      <c r="AD122" s="4">
        <v>123</v>
      </c>
      <c r="AE122" s="262" t="s">
        <v>27</v>
      </c>
      <c r="AF122" s="1"/>
      <c r="AG122" s="4">
        <v>17</v>
      </c>
      <c r="AH122" s="4">
        <v>120</v>
      </c>
      <c r="AI122" s="268" t="s">
        <v>76</v>
      </c>
    </row>
    <row r="123" spans="1:35" x14ac:dyDescent="0.35">
      <c r="A123" s="4">
        <v>16</v>
      </c>
      <c r="B123" s="4">
        <v>116</v>
      </c>
      <c r="C123" s="226" t="s">
        <v>27</v>
      </c>
      <c r="D123" s="1"/>
      <c r="E123" s="4">
        <v>16</v>
      </c>
      <c r="F123" s="4">
        <v>121</v>
      </c>
      <c r="G123" s="233" t="s">
        <v>76</v>
      </c>
      <c r="H123" s="1"/>
      <c r="I123" s="4">
        <v>16</v>
      </c>
      <c r="J123" s="4">
        <v>118</v>
      </c>
      <c r="K123" s="237" t="s">
        <v>27</v>
      </c>
      <c r="L123" s="1"/>
      <c r="M123" s="4">
        <v>16</v>
      </c>
      <c r="N123" s="4">
        <v>116</v>
      </c>
      <c r="O123" s="242" t="s">
        <v>27</v>
      </c>
      <c r="P123" s="1"/>
      <c r="Q123" s="4">
        <v>16</v>
      </c>
      <c r="R123" s="4">
        <v>119</v>
      </c>
      <c r="S123" s="247" t="s">
        <v>27</v>
      </c>
      <c r="T123" s="1"/>
      <c r="U123" s="4">
        <v>16</v>
      </c>
      <c r="V123" s="4">
        <v>117</v>
      </c>
      <c r="W123" s="253" t="s">
        <v>76</v>
      </c>
      <c r="X123" s="1"/>
      <c r="Y123" s="4">
        <v>16</v>
      </c>
      <c r="Z123" s="4">
        <v>121</v>
      </c>
      <c r="AA123" s="258" t="s">
        <v>76</v>
      </c>
      <c r="AB123" s="1"/>
      <c r="AC123" s="4">
        <v>16</v>
      </c>
      <c r="AD123" s="4">
        <v>121</v>
      </c>
      <c r="AE123" s="262" t="s">
        <v>27</v>
      </c>
      <c r="AF123" s="1"/>
      <c r="AG123" s="4">
        <v>16</v>
      </c>
      <c r="AH123" s="4">
        <v>117</v>
      </c>
      <c r="AI123" s="268" t="s">
        <v>30</v>
      </c>
    </row>
    <row r="124" spans="1:35" x14ac:dyDescent="0.35">
      <c r="A124" s="4">
        <v>15</v>
      </c>
      <c r="B124" s="4">
        <v>113</v>
      </c>
      <c r="C124" s="227" t="s">
        <v>76</v>
      </c>
      <c r="D124" s="1"/>
      <c r="E124" s="4">
        <v>15</v>
      </c>
      <c r="F124" s="4">
        <v>118</v>
      </c>
      <c r="G124" s="233" t="s">
        <v>76</v>
      </c>
      <c r="H124" s="1"/>
      <c r="I124" s="4">
        <v>15</v>
      </c>
      <c r="J124" s="4">
        <v>115</v>
      </c>
      <c r="K124" s="238" t="s">
        <v>76</v>
      </c>
      <c r="L124" s="1"/>
      <c r="M124" s="4">
        <v>15</v>
      </c>
      <c r="N124" s="4">
        <v>113</v>
      </c>
      <c r="O124" s="242" t="s">
        <v>27</v>
      </c>
      <c r="P124" s="1"/>
      <c r="Q124" s="4">
        <v>15</v>
      </c>
      <c r="R124" s="4">
        <v>116</v>
      </c>
      <c r="S124" s="247" t="s">
        <v>27</v>
      </c>
      <c r="T124" s="1"/>
      <c r="U124" s="4">
        <v>15</v>
      </c>
      <c r="V124" s="4">
        <v>115</v>
      </c>
      <c r="W124" s="253" t="s">
        <v>76</v>
      </c>
      <c r="X124" s="1"/>
      <c r="Y124" s="4">
        <v>15</v>
      </c>
      <c r="Z124" s="4">
        <v>118</v>
      </c>
      <c r="AA124" s="258" t="s">
        <v>76</v>
      </c>
      <c r="AB124" s="1"/>
      <c r="AC124" s="4">
        <v>15</v>
      </c>
      <c r="AD124" s="4">
        <v>118</v>
      </c>
      <c r="AE124" s="263" t="s">
        <v>76</v>
      </c>
      <c r="AF124" s="1"/>
      <c r="AG124" s="4">
        <v>15</v>
      </c>
      <c r="AH124" s="4">
        <v>115</v>
      </c>
      <c r="AI124" s="268" t="s">
        <v>30</v>
      </c>
    </row>
    <row r="125" spans="1:35" x14ac:dyDescent="0.35">
      <c r="A125" s="4">
        <v>14</v>
      </c>
      <c r="B125" s="4">
        <v>110</v>
      </c>
      <c r="C125" s="227" t="s">
        <v>76</v>
      </c>
      <c r="D125" s="1"/>
      <c r="E125" s="4">
        <v>14</v>
      </c>
      <c r="F125" s="4">
        <v>114</v>
      </c>
      <c r="G125" s="234" t="s">
        <v>30</v>
      </c>
      <c r="H125" s="1"/>
      <c r="I125" s="4">
        <v>14</v>
      </c>
      <c r="J125" s="4">
        <v>113</v>
      </c>
      <c r="K125" s="238" t="s">
        <v>76</v>
      </c>
      <c r="L125" s="1"/>
      <c r="M125" s="4">
        <v>14</v>
      </c>
      <c r="N125" s="4">
        <v>110</v>
      </c>
      <c r="O125" s="243" t="s">
        <v>75</v>
      </c>
      <c r="P125" s="1"/>
      <c r="Q125" s="4">
        <v>14</v>
      </c>
      <c r="R125" s="4">
        <v>114</v>
      </c>
      <c r="S125" s="248" t="s">
        <v>75</v>
      </c>
      <c r="T125" s="1"/>
      <c r="U125" s="4">
        <v>14</v>
      </c>
      <c r="V125" s="4">
        <v>112</v>
      </c>
      <c r="W125" s="254" t="s">
        <v>30</v>
      </c>
      <c r="X125" s="1"/>
      <c r="Y125" s="4">
        <v>14</v>
      </c>
      <c r="Z125" s="4">
        <v>115</v>
      </c>
      <c r="AA125" s="258" t="s">
        <v>76</v>
      </c>
      <c r="AB125" s="1"/>
      <c r="AC125" s="4">
        <v>14</v>
      </c>
      <c r="AD125" s="4">
        <v>115</v>
      </c>
      <c r="AE125" s="263" t="s">
        <v>76</v>
      </c>
      <c r="AF125" s="1"/>
      <c r="AG125" s="4">
        <v>14</v>
      </c>
      <c r="AH125" s="4">
        <v>112</v>
      </c>
      <c r="AI125" s="268" t="s">
        <v>30</v>
      </c>
    </row>
    <row r="126" spans="1:35" x14ac:dyDescent="0.35">
      <c r="A126" s="4">
        <v>13</v>
      </c>
      <c r="B126" s="4">
        <v>107</v>
      </c>
      <c r="C126" s="227" t="s">
        <v>76</v>
      </c>
      <c r="D126" s="1"/>
      <c r="E126" s="4">
        <v>13</v>
      </c>
      <c r="F126" s="4">
        <v>111</v>
      </c>
      <c r="G126" s="234" t="s">
        <v>30</v>
      </c>
      <c r="H126" s="1"/>
      <c r="I126" s="4">
        <v>13</v>
      </c>
      <c r="J126" s="4">
        <v>111</v>
      </c>
      <c r="K126" s="238" t="s">
        <v>76</v>
      </c>
      <c r="L126" s="1"/>
      <c r="M126" s="4">
        <v>13</v>
      </c>
      <c r="N126" s="4">
        <v>107</v>
      </c>
      <c r="O126" s="243" t="s">
        <v>75</v>
      </c>
      <c r="P126" s="1"/>
      <c r="Q126" s="4">
        <v>13</v>
      </c>
      <c r="R126" s="4">
        <v>111</v>
      </c>
      <c r="S126" s="248" t="s">
        <v>75</v>
      </c>
      <c r="T126" s="1"/>
      <c r="U126" s="4">
        <v>13</v>
      </c>
      <c r="V126" s="4">
        <v>110</v>
      </c>
      <c r="W126" s="254" t="s">
        <v>30</v>
      </c>
      <c r="X126" s="1"/>
      <c r="Y126" s="4">
        <v>13</v>
      </c>
      <c r="Z126" s="4">
        <v>112</v>
      </c>
      <c r="AA126" s="258" t="s">
        <v>76</v>
      </c>
      <c r="AB126" s="1"/>
      <c r="AC126" s="4">
        <v>13</v>
      </c>
      <c r="AD126" s="4">
        <v>112</v>
      </c>
      <c r="AE126" s="263" t="s">
        <v>76</v>
      </c>
      <c r="AF126" s="1"/>
      <c r="AG126" s="4">
        <v>13</v>
      </c>
      <c r="AH126" s="4">
        <v>110</v>
      </c>
      <c r="AI126" s="268" t="s">
        <v>30</v>
      </c>
    </row>
    <row r="127" spans="1:35" x14ac:dyDescent="0.35">
      <c r="A127" s="4">
        <v>12</v>
      </c>
      <c r="B127" s="4">
        <v>104</v>
      </c>
      <c r="C127" s="228" t="s">
        <v>30</v>
      </c>
      <c r="D127" s="1"/>
      <c r="E127" s="4">
        <v>12</v>
      </c>
      <c r="F127" s="4">
        <v>108</v>
      </c>
      <c r="G127" s="235" t="s">
        <v>75</v>
      </c>
      <c r="H127" s="1"/>
      <c r="I127" s="4">
        <v>12</v>
      </c>
      <c r="J127" s="4">
        <v>109</v>
      </c>
      <c r="K127" s="238" t="s">
        <v>76</v>
      </c>
      <c r="L127" s="1"/>
      <c r="M127" s="4">
        <v>12</v>
      </c>
      <c r="N127" s="4">
        <v>104</v>
      </c>
      <c r="O127" s="244" t="s">
        <v>30</v>
      </c>
      <c r="P127" s="1"/>
      <c r="Q127" s="4">
        <v>12</v>
      </c>
      <c r="R127" s="4">
        <v>108</v>
      </c>
      <c r="S127" s="248" t="s">
        <v>75</v>
      </c>
      <c r="T127" s="1"/>
      <c r="U127" s="4">
        <v>12</v>
      </c>
      <c r="V127" s="4">
        <v>108</v>
      </c>
      <c r="W127" s="254" t="s">
        <v>30</v>
      </c>
      <c r="X127" s="1"/>
      <c r="Y127" s="4">
        <v>12</v>
      </c>
      <c r="Z127" s="4">
        <v>109</v>
      </c>
      <c r="AA127" s="259" t="s">
        <v>30</v>
      </c>
      <c r="AB127" s="1"/>
      <c r="AC127" s="4">
        <v>12</v>
      </c>
      <c r="AD127" s="4">
        <v>109</v>
      </c>
      <c r="AE127" s="263" t="s">
        <v>76</v>
      </c>
      <c r="AF127" s="1"/>
      <c r="AG127" s="4">
        <v>12</v>
      </c>
      <c r="AH127" s="4">
        <v>107</v>
      </c>
      <c r="AI127" s="268" t="s">
        <v>30</v>
      </c>
    </row>
    <row r="128" spans="1:35" x14ac:dyDescent="0.35">
      <c r="A128" s="4">
        <v>11</v>
      </c>
      <c r="B128" s="4">
        <v>101</v>
      </c>
      <c r="C128" s="228" t="s">
        <v>30</v>
      </c>
      <c r="D128" s="1"/>
      <c r="E128" s="4">
        <v>11</v>
      </c>
      <c r="F128" s="4">
        <v>105</v>
      </c>
      <c r="G128" s="235" t="s">
        <v>75</v>
      </c>
      <c r="H128" s="1"/>
      <c r="I128" s="4">
        <v>11</v>
      </c>
      <c r="J128" s="4">
        <v>106</v>
      </c>
      <c r="K128" s="239" t="s">
        <v>30</v>
      </c>
      <c r="L128" s="1"/>
      <c r="M128" s="4">
        <v>11</v>
      </c>
      <c r="N128" s="4">
        <v>101</v>
      </c>
      <c r="O128" s="244" t="s">
        <v>30</v>
      </c>
      <c r="P128" s="1"/>
      <c r="Q128" s="4">
        <v>11</v>
      </c>
      <c r="R128" s="4">
        <v>105</v>
      </c>
      <c r="S128" s="249" t="s">
        <v>30</v>
      </c>
      <c r="T128" s="1"/>
      <c r="U128" s="4">
        <v>11</v>
      </c>
      <c r="V128" s="4">
        <v>106</v>
      </c>
      <c r="W128" s="254" t="s">
        <v>30</v>
      </c>
      <c r="X128" s="1"/>
      <c r="Y128" s="4">
        <v>11</v>
      </c>
      <c r="Z128" s="4">
        <v>107</v>
      </c>
      <c r="AA128" s="259" t="s">
        <v>30</v>
      </c>
      <c r="AB128" s="1"/>
      <c r="AC128" s="4">
        <v>11</v>
      </c>
      <c r="AD128" s="4">
        <v>107</v>
      </c>
      <c r="AE128" s="264" t="s">
        <v>30</v>
      </c>
      <c r="AF128" s="1"/>
      <c r="AG128" s="4">
        <v>11</v>
      </c>
      <c r="AH128" s="4">
        <v>105</v>
      </c>
      <c r="AI128" s="269" t="s">
        <v>75</v>
      </c>
    </row>
    <row r="129" spans="1:35" x14ac:dyDescent="0.35">
      <c r="A129" s="4">
        <v>10</v>
      </c>
      <c r="B129" s="4">
        <v>99</v>
      </c>
      <c r="C129" s="228" t="s">
        <v>30</v>
      </c>
      <c r="D129" s="1"/>
      <c r="E129" s="4">
        <v>10</v>
      </c>
      <c r="F129" s="4">
        <v>102</v>
      </c>
      <c r="G129" s="235" t="s">
        <v>75</v>
      </c>
      <c r="H129" s="1"/>
      <c r="I129" s="4">
        <v>10</v>
      </c>
      <c r="J129" s="4">
        <v>104</v>
      </c>
      <c r="K129" s="239" t="s">
        <v>30</v>
      </c>
      <c r="L129" s="1"/>
      <c r="M129" s="4">
        <v>10</v>
      </c>
      <c r="N129" s="4">
        <v>99</v>
      </c>
      <c r="O129" s="245" t="s">
        <v>76</v>
      </c>
      <c r="P129" s="1"/>
      <c r="Q129" s="4">
        <v>10</v>
      </c>
      <c r="R129" s="4">
        <v>103</v>
      </c>
      <c r="S129" s="249" t="s">
        <v>30</v>
      </c>
      <c r="T129" s="1"/>
      <c r="U129" s="4">
        <v>10</v>
      </c>
      <c r="V129" s="4">
        <v>104</v>
      </c>
      <c r="W129" s="255" t="s">
        <v>75</v>
      </c>
      <c r="X129" s="1"/>
      <c r="Y129" s="4">
        <v>10</v>
      </c>
      <c r="Z129" s="4">
        <v>104</v>
      </c>
      <c r="AA129" s="259" t="s">
        <v>30</v>
      </c>
      <c r="AB129" s="1"/>
      <c r="AC129" s="4">
        <v>10</v>
      </c>
      <c r="AD129" s="4">
        <v>104</v>
      </c>
      <c r="AE129" s="264" t="s">
        <v>30</v>
      </c>
      <c r="AF129" s="1"/>
      <c r="AG129" s="4">
        <v>10</v>
      </c>
      <c r="AH129" s="4">
        <v>102</v>
      </c>
      <c r="AI129" s="269" t="s">
        <v>75</v>
      </c>
    </row>
    <row r="130" spans="1:35" x14ac:dyDescent="0.35">
      <c r="A130" s="4">
        <v>9</v>
      </c>
      <c r="B130" s="4">
        <v>96</v>
      </c>
      <c r="C130" s="229" t="s">
        <v>75</v>
      </c>
      <c r="D130" s="1"/>
      <c r="E130" s="4">
        <v>9</v>
      </c>
      <c r="F130" s="4">
        <v>99</v>
      </c>
      <c r="G130" s="236" t="s">
        <v>25</v>
      </c>
      <c r="H130" s="1"/>
      <c r="I130" s="4">
        <v>9</v>
      </c>
      <c r="J130" s="4">
        <v>102</v>
      </c>
      <c r="K130" s="239" t="s">
        <v>30</v>
      </c>
      <c r="L130" s="1"/>
      <c r="M130" s="4">
        <v>9</v>
      </c>
      <c r="N130" s="4">
        <v>96</v>
      </c>
      <c r="O130" s="245" t="s">
        <v>76</v>
      </c>
      <c r="P130" s="1"/>
      <c r="Q130" s="4">
        <v>9</v>
      </c>
      <c r="R130" s="4">
        <v>100</v>
      </c>
      <c r="S130" s="249" t="s">
        <v>30</v>
      </c>
      <c r="T130" s="1"/>
      <c r="U130" s="4">
        <v>9</v>
      </c>
      <c r="V130" s="4">
        <v>101</v>
      </c>
      <c r="W130" s="255" t="s">
        <v>75</v>
      </c>
      <c r="X130" s="1"/>
      <c r="Y130" s="4">
        <v>9</v>
      </c>
      <c r="Z130" s="4">
        <v>101</v>
      </c>
      <c r="AA130" s="260" t="s">
        <v>75</v>
      </c>
      <c r="AB130" s="1"/>
      <c r="AC130" s="4">
        <v>9</v>
      </c>
      <c r="AD130" s="4">
        <v>101</v>
      </c>
      <c r="AE130" s="264" t="s">
        <v>30</v>
      </c>
      <c r="AF130" s="1"/>
      <c r="AG130" s="4">
        <v>9</v>
      </c>
      <c r="AH130" s="4">
        <v>100</v>
      </c>
      <c r="AI130" s="269" t="s">
        <v>75</v>
      </c>
    </row>
    <row r="131" spans="1:35" x14ac:dyDescent="0.35">
      <c r="A131" s="4">
        <v>8</v>
      </c>
      <c r="B131" s="4">
        <v>93</v>
      </c>
      <c r="C131" s="229" t="s">
        <v>75</v>
      </c>
      <c r="D131" s="1"/>
      <c r="E131" s="4">
        <v>8</v>
      </c>
      <c r="F131" s="4">
        <v>96</v>
      </c>
      <c r="G131" s="236" t="s">
        <v>25</v>
      </c>
      <c r="H131" s="1"/>
      <c r="I131" s="4">
        <v>8</v>
      </c>
      <c r="J131" s="4">
        <v>100</v>
      </c>
      <c r="K131" s="239" t="s">
        <v>30</v>
      </c>
      <c r="L131" s="1"/>
      <c r="M131" s="4">
        <v>8</v>
      </c>
      <c r="N131" s="4">
        <v>93</v>
      </c>
      <c r="O131" s="245" t="s">
        <v>76</v>
      </c>
      <c r="P131" s="1"/>
      <c r="Q131" s="4">
        <v>8</v>
      </c>
      <c r="R131" s="4">
        <v>97</v>
      </c>
      <c r="S131" s="249" t="s">
        <v>30</v>
      </c>
      <c r="T131" s="1"/>
      <c r="U131" s="4">
        <v>8</v>
      </c>
      <c r="V131" s="4">
        <v>99</v>
      </c>
      <c r="W131" s="255" t="s">
        <v>75</v>
      </c>
      <c r="X131" s="1"/>
      <c r="Y131" s="4">
        <v>8</v>
      </c>
      <c r="Z131" s="4">
        <v>98</v>
      </c>
      <c r="AA131" s="260" t="s">
        <v>75</v>
      </c>
      <c r="AB131" s="1"/>
      <c r="AC131" s="4">
        <v>8</v>
      </c>
      <c r="AD131" s="4">
        <v>98</v>
      </c>
      <c r="AE131" s="265" t="s">
        <v>75</v>
      </c>
      <c r="AF131" s="1"/>
      <c r="AG131" s="4">
        <v>8</v>
      </c>
      <c r="AH131" s="4">
        <v>98</v>
      </c>
      <c r="AI131" s="269" t="s">
        <v>75</v>
      </c>
    </row>
    <row r="132" spans="1:35" x14ac:dyDescent="0.35">
      <c r="A132" s="4">
        <v>7</v>
      </c>
      <c r="B132" s="4">
        <v>90</v>
      </c>
      <c r="C132" s="229" t="s">
        <v>75</v>
      </c>
      <c r="D132" s="1"/>
      <c r="E132" s="4">
        <v>7</v>
      </c>
      <c r="F132" s="4">
        <v>93</v>
      </c>
      <c r="G132" s="236" t="s">
        <v>25</v>
      </c>
      <c r="H132" s="1"/>
      <c r="I132" s="4">
        <v>7</v>
      </c>
      <c r="J132" s="4">
        <v>97</v>
      </c>
      <c r="K132" s="240" t="s">
        <v>75</v>
      </c>
      <c r="L132" s="1"/>
      <c r="M132" s="4">
        <v>7</v>
      </c>
      <c r="N132" s="4">
        <v>90</v>
      </c>
      <c r="O132" s="246" t="s">
        <v>25</v>
      </c>
      <c r="P132" s="1"/>
      <c r="Q132" s="4">
        <v>7</v>
      </c>
      <c r="R132" s="4">
        <v>94</v>
      </c>
      <c r="S132" s="250" t="s">
        <v>76</v>
      </c>
      <c r="T132" s="1"/>
      <c r="U132" s="4">
        <v>7</v>
      </c>
      <c r="V132" s="4">
        <v>97</v>
      </c>
      <c r="W132" s="255" t="s">
        <v>75</v>
      </c>
      <c r="X132" s="1"/>
      <c r="Y132" s="4">
        <v>7</v>
      </c>
      <c r="Z132" s="4">
        <v>96</v>
      </c>
      <c r="AA132" s="260" t="s">
        <v>75</v>
      </c>
      <c r="AB132" s="1"/>
      <c r="AC132" s="4">
        <v>7</v>
      </c>
      <c r="AD132" s="4">
        <v>96</v>
      </c>
      <c r="AE132" s="265" t="s">
        <v>75</v>
      </c>
      <c r="AF132" s="1"/>
      <c r="AG132" s="4">
        <v>7</v>
      </c>
      <c r="AH132" s="4">
        <v>95</v>
      </c>
      <c r="AI132" s="270" t="s">
        <v>25</v>
      </c>
    </row>
    <row r="133" spans="1:35" x14ac:dyDescent="0.35">
      <c r="A133" s="4">
        <v>6</v>
      </c>
      <c r="B133" s="4">
        <v>87</v>
      </c>
      <c r="C133" s="230" t="s">
        <v>25</v>
      </c>
      <c r="D133" s="1"/>
      <c r="E133" s="4">
        <v>6</v>
      </c>
      <c r="F133" s="4">
        <v>89</v>
      </c>
      <c r="G133" s="236" t="s">
        <v>25</v>
      </c>
      <c r="H133" s="1"/>
      <c r="I133" s="4">
        <v>6</v>
      </c>
      <c r="J133" s="4">
        <v>95</v>
      </c>
      <c r="K133" s="240" t="s">
        <v>75</v>
      </c>
      <c r="L133" s="1"/>
      <c r="M133" s="4">
        <v>6</v>
      </c>
      <c r="N133" s="4">
        <v>87</v>
      </c>
      <c r="O133" s="246" t="s">
        <v>25</v>
      </c>
      <c r="P133" s="1"/>
      <c r="Q133" s="4">
        <v>6</v>
      </c>
      <c r="R133" s="4">
        <v>91</v>
      </c>
      <c r="S133" s="250" t="s">
        <v>76</v>
      </c>
      <c r="T133" s="1"/>
      <c r="U133" s="4">
        <v>6</v>
      </c>
      <c r="V133" s="4">
        <v>95</v>
      </c>
      <c r="W133" s="255" t="s">
        <v>75</v>
      </c>
      <c r="X133" s="1"/>
      <c r="Y133" s="4">
        <v>6</v>
      </c>
      <c r="Z133" s="4">
        <v>93</v>
      </c>
      <c r="AA133" s="261" t="s">
        <v>25</v>
      </c>
      <c r="AB133" s="1"/>
      <c r="AC133" s="4">
        <v>6</v>
      </c>
      <c r="AD133" s="4">
        <v>93</v>
      </c>
      <c r="AE133" s="265" t="s">
        <v>75</v>
      </c>
      <c r="AF133" s="1"/>
      <c r="AG133" s="4">
        <v>6</v>
      </c>
      <c r="AH133" s="4">
        <v>93</v>
      </c>
      <c r="AI133" s="270" t="s">
        <v>25</v>
      </c>
    </row>
    <row r="134" spans="1:35" x14ac:dyDescent="0.35">
      <c r="A134" s="4">
        <v>5</v>
      </c>
      <c r="B134" s="4">
        <v>84</v>
      </c>
      <c r="C134" s="230" t="s">
        <v>25</v>
      </c>
      <c r="D134" s="1"/>
      <c r="E134" s="4">
        <v>5</v>
      </c>
      <c r="F134" s="4">
        <v>86</v>
      </c>
      <c r="G134" s="236" t="s">
        <v>25</v>
      </c>
      <c r="H134" s="1"/>
      <c r="I134" s="4">
        <v>5</v>
      </c>
      <c r="J134" s="4">
        <v>93</v>
      </c>
      <c r="K134" s="240" t="s">
        <v>75</v>
      </c>
      <c r="L134" s="1"/>
      <c r="M134" s="4">
        <v>5</v>
      </c>
      <c r="N134" s="4">
        <v>84</v>
      </c>
      <c r="O134" s="246" t="s">
        <v>25</v>
      </c>
      <c r="P134" s="1"/>
      <c r="Q134" s="4">
        <v>5</v>
      </c>
      <c r="R134" s="4">
        <v>89</v>
      </c>
      <c r="S134" s="250" t="s">
        <v>76</v>
      </c>
      <c r="T134" s="1"/>
      <c r="U134" s="4">
        <v>5</v>
      </c>
      <c r="V134" s="4">
        <v>92</v>
      </c>
      <c r="W134" s="256" t="s">
        <v>25</v>
      </c>
      <c r="X134" s="1"/>
      <c r="Y134" s="4">
        <v>5</v>
      </c>
      <c r="Z134" s="4">
        <v>90</v>
      </c>
      <c r="AA134" s="261" t="s">
        <v>25</v>
      </c>
      <c r="AB134" s="1"/>
      <c r="AC134" s="4">
        <v>5</v>
      </c>
      <c r="AD134" s="4">
        <v>90</v>
      </c>
      <c r="AE134" s="265" t="s">
        <v>75</v>
      </c>
      <c r="AF134" s="1"/>
      <c r="AG134" s="4">
        <v>5</v>
      </c>
      <c r="AH134" s="4">
        <v>90</v>
      </c>
      <c r="AI134" s="270" t="s">
        <v>25</v>
      </c>
    </row>
    <row r="135" spans="1:35" x14ac:dyDescent="0.35">
      <c r="A135" s="4">
        <v>4</v>
      </c>
      <c r="B135" s="4">
        <v>81</v>
      </c>
      <c r="C135" s="230" t="s">
        <v>25</v>
      </c>
      <c r="D135" s="1"/>
      <c r="E135" s="4">
        <v>4</v>
      </c>
      <c r="F135" s="4">
        <v>83</v>
      </c>
      <c r="G135" s="236" t="s">
        <v>25</v>
      </c>
      <c r="H135" s="1"/>
      <c r="I135" s="4">
        <v>4</v>
      </c>
      <c r="J135" s="4">
        <v>90</v>
      </c>
      <c r="K135" s="241" t="s">
        <v>25</v>
      </c>
      <c r="L135" s="1"/>
      <c r="M135" s="4">
        <v>4</v>
      </c>
      <c r="N135" s="4">
        <v>81</v>
      </c>
      <c r="O135" s="246" t="s">
        <v>25</v>
      </c>
      <c r="P135" s="1"/>
      <c r="Q135" s="4">
        <v>4</v>
      </c>
      <c r="R135" s="4">
        <v>86</v>
      </c>
      <c r="S135" s="251" t="s">
        <v>25</v>
      </c>
      <c r="T135" s="1"/>
      <c r="U135" s="4">
        <v>4</v>
      </c>
      <c r="V135" s="4">
        <v>90</v>
      </c>
      <c r="W135" s="256" t="s">
        <v>25</v>
      </c>
      <c r="X135" s="1"/>
      <c r="Y135" s="4">
        <v>4</v>
      </c>
      <c r="Z135" s="4">
        <v>87</v>
      </c>
      <c r="AA135" s="261" t="s">
        <v>25</v>
      </c>
      <c r="AB135" s="1"/>
      <c r="AC135" s="4">
        <v>4</v>
      </c>
      <c r="AD135" s="4">
        <v>87</v>
      </c>
      <c r="AE135" s="266" t="s">
        <v>25</v>
      </c>
      <c r="AF135" s="1"/>
      <c r="AG135" s="4">
        <v>4</v>
      </c>
      <c r="AH135" s="4">
        <v>88</v>
      </c>
      <c r="AI135" s="270" t="s">
        <v>25</v>
      </c>
    </row>
    <row r="136" spans="1:35" x14ac:dyDescent="0.35">
      <c r="A136" s="4">
        <v>3</v>
      </c>
      <c r="B136" s="4">
        <v>78</v>
      </c>
      <c r="C136" s="230" t="s">
        <v>25</v>
      </c>
      <c r="D136" s="1"/>
      <c r="E136" s="4">
        <v>3</v>
      </c>
      <c r="F136" s="4">
        <v>80</v>
      </c>
      <c r="G136" s="236" t="s">
        <v>25</v>
      </c>
      <c r="H136" s="1"/>
      <c r="I136" s="4">
        <v>3</v>
      </c>
      <c r="J136" s="4">
        <v>88</v>
      </c>
      <c r="K136" s="241" t="s">
        <v>25</v>
      </c>
      <c r="L136" s="1"/>
      <c r="M136" s="4">
        <v>3</v>
      </c>
      <c r="N136" s="4">
        <v>78</v>
      </c>
      <c r="O136" s="246" t="s">
        <v>25</v>
      </c>
      <c r="P136" s="1"/>
      <c r="Q136" s="4">
        <v>3</v>
      </c>
      <c r="R136" s="4">
        <v>83</v>
      </c>
      <c r="S136" s="251" t="s">
        <v>25</v>
      </c>
      <c r="T136" s="1"/>
      <c r="U136" s="4">
        <v>3</v>
      </c>
      <c r="V136" s="4">
        <v>88</v>
      </c>
      <c r="W136" s="256" t="s">
        <v>25</v>
      </c>
      <c r="X136" s="1"/>
      <c r="Y136" s="4">
        <v>3</v>
      </c>
      <c r="Z136" s="4">
        <v>84</v>
      </c>
      <c r="AA136" s="261" t="s">
        <v>25</v>
      </c>
      <c r="AB136" s="1"/>
      <c r="AC136" s="4">
        <v>3</v>
      </c>
      <c r="AD136" s="4">
        <v>84</v>
      </c>
      <c r="AE136" s="266" t="s">
        <v>25</v>
      </c>
      <c r="AF136" s="1"/>
      <c r="AG136" s="4">
        <v>3</v>
      </c>
      <c r="AH136" s="4">
        <v>85</v>
      </c>
      <c r="AI136" s="270" t="s">
        <v>25</v>
      </c>
    </row>
    <row r="137" spans="1:35" x14ac:dyDescent="0.35">
      <c r="A137" s="4">
        <v>2</v>
      </c>
      <c r="B137" s="4">
        <v>75</v>
      </c>
      <c r="C137" s="230" t="s">
        <v>25</v>
      </c>
      <c r="D137" s="1"/>
      <c r="E137" s="4">
        <v>2</v>
      </c>
      <c r="F137" s="4">
        <v>77</v>
      </c>
      <c r="G137" s="236" t="s">
        <v>25</v>
      </c>
      <c r="H137" s="1"/>
      <c r="I137" s="4">
        <v>2</v>
      </c>
      <c r="J137" s="4">
        <v>86</v>
      </c>
      <c r="K137" s="241" t="s">
        <v>25</v>
      </c>
      <c r="L137" s="1"/>
      <c r="M137" s="4">
        <v>2</v>
      </c>
      <c r="N137" s="4">
        <v>75</v>
      </c>
      <c r="O137" s="246" t="s">
        <v>25</v>
      </c>
      <c r="P137" s="1"/>
      <c r="Q137" s="4">
        <v>2</v>
      </c>
      <c r="R137" s="4">
        <v>80</v>
      </c>
      <c r="S137" s="251" t="s">
        <v>25</v>
      </c>
      <c r="T137" s="1"/>
      <c r="U137" s="4">
        <v>2</v>
      </c>
      <c r="V137" s="4">
        <v>86</v>
      </c>
      <c r="W137" s="256" t="s">
        <v>25</v>
      </c>
      <c r="X137" s="1"/>
      <c r="Y137" s="4">
        <v>2</v>
      </c>
      <c r="Z137" s="4">
        <v>82</v>
      </c>
      <c r="AA137" s="261" t="s">
        <v>25</v>
      </c>
      <c r="AB137" s="1"/>
      <c r="AC137" s="4">
        <v>2</v>
      </c>
      <c r="AD137" s="4">
        <v>82</v>
      </c>
      <c r="AE137" s="266" t="s">
        <v>25</v>
      </c>
      <c r="AF137" s="1"/>
      <c r="AG137" s="4">
        <v>2</v>
      </c>
      <c r="AH137" s="4">
        <v>83</v>
      </c>
      <c r="AI137" s="270" t="s">
        <v>25</v>
      </c>
    </row>
    <row r="138" spans="1:35" x14ac:dyDescent="0.35">
      <c r="A138" s="4">
        <v>1</v>
      </c>
      <c r="B138" s="4">
        <v>72</v>
      </c>
      <c r="C138" s="230" t="s">
        <v>25</v>
      </c>
      <c r="D138" s="1"/>
      <c r="E138" s="4">
        <v>1</v>
      </c>
      <c r="F138" s="4">
        <v>74</v>
      </c>
      <c r="G138" s="236" t="s">
        <v>25</v>
      </c>
      <c r="H138" s="1"/>
      <c r="I138" s="4">
        <v>1</v>
      </c>
      <c r="J138" s="4">
        <v>84</v>
      </c>
      <c r="K138" s="241" t="s">
        <v>25</v>
      </c>
      <c r="L138" s="1"/>
      <c r="M138" s="4">
        <v>1</v>
      </c>
      <c r="N138" s="4">
        <v>72</v>
      </c>
      <c r="O138" s="246" t="s">
        <v>25</v>
      </c>
      <c r="P138" s="1"/>
      <c r="Q138" s="4">
        <v>1</v>
      </c>
      <c r="R138" s="4">
        <v>78</v>
      </c>
      <c r="S138" s="251" t="s">
        <v>25</v>
      </c>
      <c r="T138" s="1"/>
      <c r="U138" s="4">
        <v>1</v>
      </c>
      <c r="V138" s="4">
        <v>84</v>
      </c>
      <c r="W138" s="256" t="s">
        <v>25</v>
      </c>
      <c r="X138" s="1"/>
      <c r="Y138" s="4">
        <v>1</v>
      </c>
      <c r="Z138" s="4">
        <v>79</v>
      </c>
      <c r="AA138" s="261" t="s">
        <v>25</v>
      </c>
      <c r="AB138" s="1"/>
      <c r="AC138" s="4">
        <v>1</v>
      </c>
      <c r="AD138" s="4">
        <v>79</v>
      </c>
      <c r="AE138" s="266" t="s">
        <v>25</v>
      </c>
      <c r="AF138" s="1"/>
      <c r="AG138" s="4">
        <v>1</v>
      </c>
      <c r="AH138" s="4">
        <v>80</v>
      </c>
      <c r="AI138" s="270" t="s">
        <v>25</v>
      </c>
    </row>
    <row r="139" spans="1:35" x14ac:dyDescent="0.35">
      <c r="A139" s="4">
        <v>0</v>
      </c>
      <c r="B139" s="9">
        <v>69</v>
      </c>
      <c r="C139" s="230" t="s">
        <v>25</v>
      </c>
      <c r="D139" s="1"/>
      <c r="E139" s="4">
        <v>0</v>
      </c>
      <c r="F139" s="4">
        <v>71</v>
      </c>
      <c r="G139" s="236" t="s">
        <v>25</v>
      </c>
      <c r="H139" s="1"/>
      <c r="I139" s="4">
        <v>0</v>
      </c>
      <c r="J139" s="4">
        <v>81</v>
      </c>
      <c r="K139" s="241" t="s">
        <v>25</v>
      </c>
      <c r="L139" s="1"/>
      <c r="M139" s="4">
        <v>0</v>
      </c>
      <c r="N139" s="4">
        <v>69</v>
      </c>
      <c r="O139" s="246" t="s">
        <v>25</v>
      </c>
      <c r="P139" s="1"/>
      <c r="Q139" s="4">
        <v>0</v>
      </c>
      <c r="R139" s="4">
        <v>75</v>
      </c>
      <c r="S139" s="251" t="s">
        <v>25</v>
      </c>
      <c r="T139" s="1"/>
      <c r="U139" s="4">
        <v>0</v>
      </c>
      <c r="V139" s="4">
        <v>81</v>
      </c>
      <c r="W139" s="256" t="s">
        <v>25</v>
      </c>
      <c r="X139" s="1"/>
      <c r="Y139" s="4">
        <v>0</v>
      </c>
      <c r="Z139" s="4">
        <v>76</v>
      </c>
      <c r="AA139" s="261" t="s">
        <v>25</v>
      </c>
      <c r="AB139" s="1"/>
      <c r="AC139" s="4">
        <v>0</v>
      </c>
      <c r="AD139" s="4">
        <v>76</v>
      </c>
      <c r="AE139" s="266" t="s">
        <v>25</v>
      </c>
      <c r="AF139" s="1"/>
      <c r="AG139" s="4">
        <v>0</v>
      </c>
      <c r="AH139" s="4">
        <v>78</v>
      </c>
      <c r="AI139" s="270" t="s">
        <v>25</v>
      </c>
    </row>
    <row r="142" spans="1:35" ht="15" customHeight="1" x14ac:dyDescent="0.35"/>
    <row r="143" spans="1:35" ht="15" customHeight="1" x14ac:dyDescent="0.35">
      <c r="A143" s="333" t="s">
        <v>72</v>
      </c>
      <c r="B143" s="334"/>
      <c r="C143" t="str">
        <f>IF(IST!$N2 &gt; 40,"True","")</f>
        <v/>
      </c>
    </row>
    <row r="144" spans="1:35" x14ac:dyDescent="0.35">
      <c r="A144" s="335" t="s">
        <v>41</v>
      </c>
      <c r="B144" s="336"/>
      <c r="C144" s="337"/>
      <c r="D144" s="1"/>
      <c r="E144" s="330" t="s">
        <v>42</v>
      </c>
      <c r="F144" s="331"/>
      <c r="G144" s="332"/>
      <c r="H144" s="1"/>
      <c r="I144" s="330" t="s">
        <v>43</v>
      </c>
      <c r="J144" s="331"/>
      <c r="K144" s="332"/>
      <c r="L144" s="5"/>
      <c r="M144" s="331" t="s">
        <v>44</v>
      </c>
      <c r="N144" s="331"/>
      <c r="O144" s="332"/>
      <c r="P144" s="1"/>
      <c r="Q144" s="330" t="s">
        <v>45</v>
      </c>
      <c r="R144" s="331"/>
      <c r="S144" s="332"/>
      <c r="T144" s="1"/>
      <c r="U144" s="330" t="s">
        <v>46</v>
      </c>
      <c r="V144" s="331"/>
      <c r="W144" s="332"/>
      <c r="X144" s="1"/>
      <c r="Y144" s="330" t="s">
        <v>47</v>
      </c>
      <c r="Z144" s="331"/>
      <c r="AA144" s="332"/>
      <c r="AB144" s="1"/>
      <c r="AC144" s="330" t="s">
        <v>48</v>
      </c>
      <c r="AD144" s="331"/>
      <c r="AE144" s="332"/>
      <c r="AF144" s="1"/>
      <c r="AG144" s="330" t="s">
        <v>49</v>
      </c>
      <c r="AH144" s="331"/>
      <c r="AI144" s="332"/>
    </row>
    <row r="145" spans="1:35" x14ac:dyDescent="0.35">
      <c r="A145" s="6" t="s">
        <v>50</v>
      </c>
      <c r="B145" s="4" t="s">
        <v>51</v>
      </c>
      <c r="C145" s="4" t="s">
        <v>52</v>
      </c>
      <c r="D145" s="1"/>
      <c r="E145" s="6" t="s">
        <v>50</v>
      </c>
      <c r="F145" s="4" t="s">
        <v>51</v>
      </c>
      <c r="G145" s="4" t="s">
        <v>52</v>
      </c>
      <c r="H145" s="1"/>
      <c r="I145" s="4" t="s">
        <v>50</v>
      </c>
      <c r="J145" s="4" t="s">
        <v>51</v>
      </c>
      <c r="K145" s="4" t="s">
        <v>52</v>
      </c>
      <c r="L145" s="2"/>
      <c r="M145" s="6" t="s">
        <v>50</v>
      </c>
      <c r="N145" s="4" t="s">
        <v>51</v>
      </c>
      <c r="O145" s="4" t="s">
        <v>52</v>
      </c>
      <c r="P145" s="1"/>
      <c r="Q145" s="6" t="s">
        <v>50</v>
      </c>
      <c r="R145" s="4" t="s">
        <v>51</v>
      </c>
      <c r="S145" s="4" t="s">
        <v>52</v>
      </c>
      <c r="T145" s="1"/>
      <c r="U145" s="6" t="s">
        <v>50</v>
      </c>
      <c r="V145" s="4" t="s">
        <v>51</v>
      </c>
      <c r="W145" s="4" t="s">
        <v>52</v>
      </c>
      <c r="X145" s="1"/>
      <c r="Y145" s="6" t="s">
        <v>50</v>
      </c>
      <c r="Z145" s="4" t="s">
        <v>51</v>
      </c>
      <c r="AA145" s="4" t="s">
        <v>52</v>
      </c>
      <c r="AB145" s="1"/>
      <c r="AC145" s="6" t="s">
        <v>50</v>
      </c>
      <c r="AD145" s="4" t="s">
        <v>51</v>
      </c>
      <c r="AE145" s="4" t="s">
        <v>52</v>
      </c>
      <c r="AF145" s="1"/>
      <c r="AG145" s="6" t="s">
        <v>50</v>
      </c>
      <c r="AH145" s="4" t="s">
        <v>51</v>
      </c>
      <c r="AI145" s="4" t="s">
        <v>52</v>
      </c>
    </row>
    <row r="146" spans="1:35" x14ac:dyDescent="0.35">
      <c r="A146" s="6">
        <v>99</v>
      </c>
      <c r="B146" s="4">
        <v>999</v>
      </c>
      <c r="C146" s="7" t="s">
        <v>27</v>
      </c>
      <c r="D146" s="1"/>
      <c r="E146" s="6">
        <v>99</v>
      </c>
      <c r="F146" s="4">
        <v>999</v>
      </c>
      <c r="G146" s="7" t="s">
        <v>27</v>
      </c>
      <c r="H146" s="1"/>
      <c r="I146" s="4">
        <v>99</v>
      </c>
      <c r="J146" s="4">
        <v>999</v>
      </c>
      <c r="K146" s="7" t="s">
        <v>27</v>
      </c>
      <c r="L146" s="2"/>
      <c r="M146" s="6">
        <v>99</v>
      </c>
      <c r="N146" s="4">
        <v>999</v>
      </c>
      <c r="O146" s="4" t="s">
        <v>27</v>
      </c>
      <c r="P146" s="1"/>
      <c r="Q146" s="6">
        <v>99</v>
      </c>
      <c r="R146" s="4">
        <v>99</v>
      </c>
      <c r="S146" s="7" t="s">
        <v>27</v>
      </c>
      <c r="T146" s="1"/>
      <c r="U146" s="6">
        <v>99</v>
      </c>
      <c r="V146" s="4">
        <v>999</v>
      </c>
      <c r="W146" s="4" t="s">
        <v>27</v>
      </c>
      <c r="X146" s="1"/>
      <c r="Y146" s="6">
        <v>99</v>
      </c>
      <c r="Z146" s="4">
        <v>999</v>
      </c>
      <c r="AA146" s="4" t="s">
        <v>27</v>
      </c>
      <c r="AB146" s="1"/>
      <c r="AC146" s="6">
        <v>99</v>
      </c>
      <c r="AD146" s="4">
        <v>999</v>
      </c>
      <c r="AE146" s="7" t="s">
        <v>27</v>
      </c>
      <c r="AF146" s="1"/>
      <c r="AG146" s="6">
        <v>99</v>
      </c>
      <c r="AH146" s="4">
        <v>999</v>
      </c>
      <c r="AI146" s="4" t="s">
        <v>27</v>
      </c>
    </row>
    <row r="147" spans="1:35" x14ac:dyDescent="0.35">
      <c r="A147" s="4">
        <v>20</v>
      </c>
      <c r="B147" s="4">
        <v>129</v>
      </c>
      <c r="C147" s="311" t="s">
        <v>27</v>
      </c>
      <c r="D147" s="1"/>
      <c r="E147" s="4">
        <v>20</v>
      </c>
      <c r="F147" s="4" t="s">
        <v>71</v>
      </c>
      <c r="G147" s="305" t="s">
        <v>27</v>
      </c>
      <c r="H147" s="1"/>
      <c r="I147" s="4">
        <v>20</v>
      </c>
      <c r="J147" s="4">
        <v>127</v>
      </c>
      <c r="K147" s="300" t="s">
        <v>27</v>
      </c>
      <c r="L147" s="1"/>
      <c r="M147" s="4">
        <v>20</v>
      </c>
      <c r="N147" s="4" t="s">
        <v>54</v>
      </c>
      <c r="O147" s="295" t="s">
        <v>27</v>
      </c>
      <c r="P147" s="1"/>
      <c r="Q147" s="4">
        <v>20</v>
      </c>
      <c r="R147" s="4">
        <v>133</v>
      </c>
      <c r="S147" s="290" t="s">
        <v>27</v>
      </c>
      <c r="T147" s="1"/>
      <c r="U147" s="4">
        <v>20</v>
      </c>
      <c r="V147" s="4" t="s">
        <v>54</v>
      </c>
      <c r="W147" s="285" t="s">
        <v>27</v>
      </c>
      <c r="X147" s="1"/>
      <c r="Y147" s="4">
        <v>20</v>
      </c>
      <c r="Z147" s="4" t="s">
        <v>54</v>
      </c>
      <c r="AA147" s="280" t="s">
        <v>27</v>
      </c>
      <c r="AB147" s="1"/>
      <c r="AC147" s="4">
        <v>20</v>
      </c>
      <c r="AD147" s="4" t="s">
        <v>71</v>
      </c>
      <c r="AE147" s="275" t="s">
        <v>27</v>
      </c>
      <c r="AF147" s="1"/>
      <c r="AG147" s="4">
        <v>20</v>
      </c>
      <c r="AH147" s="4" t="s">
        <v>61</v>
      </c>
      <c r="AI147" s="271" t="s">
        <v>27</v>
      </c>
    </row>
    <row r="148" spans="1:35" x14ac:dyDescent="0.35">
      <c r="A148" s="4">
        <v>19</v>
      </c>
      <c r="B148" s="4">
        <v>126</v>
      </c>
      <c r="C148" s="311" t="s">
        <v>27</v>
      </c>
      <c r="D148" s="1"/>
      <c r="E148" s="4">
        <v>19</v>
      </c>
      <c r="F148" s="4">
        <v>129</v>
      </c>
      <c r="G148" s="306" t="s">
        <v>27</v>
      </c>
      <c r="H148" s="1"/>
      <c r="I148" s="4">
        <v>19</v>
      </c>
      <c r="J148" s="4">
        <v>125</v>
      </c>
      <c r="K148" s="300" t="s">
        <v>27</v>
      </c>
      <c r="L148" s="1"/>
      <c r="M148" s="4">
        <v>19</v>
      </c>
      <c r="N148" s="4">
        <v>126</v>
      </c>
      <c r="O148" s="295" t="s">
        <v>27</v>
      </c>
      <c r="P148" s="1"/>
      <c r="Q148" s="4">
        <v>19</v>
      </c>
      <c r="R148" s="4">
        <v>130</v>
      </c>
      <c r="S148" s="290" t="s">
        <v>27</v>
      </c>
      <c r="T148" s="1"/>
      <c r="U148" s="4">
        <v>19</v>
      </c>
      <c r="V148" s="4">
        <v>126</v>
      </c>
      <c r="W148" s="286" t="s">
        <v>76</v>
      </c>
      <c r="X148" s="1"/>
      <c r="Y148" s="4">
        <v>19</v>
      </c>
      <c r="Z148" s="4">
        <v>127</v>
      </c>
      <c r="AA148" s="280" t="s">
        <v>27</v>
      </c>
      <c r="AB148" s="1"/>
      <c r="AC148" s="4">
        <v>19</v>
      </c>
      <c r="AD148" s="4">
        <v>129</v>
      </c>
      <c r="AE148" s="275" t="s">
        <v>27</v>
      </c>
      <c r="AF148" s="1"/>
      <c r="AG148" s="4">
        <v>19</v>
      </c>
      <c r="AH148" s="4">
        <v>124</v>
      </c>
      <c r="AI148" s="272" t="s">
        <v>76</v>
      </c>
    </row>
    <row r="149" spans="1:35" x14ac:dyDescent="0.35">
      <c r="A149" s="4">
        <v>18</v>
      </c>
      <c r="B149" s="4">
        <v>123</v>
      </c>
      <c r="C149" s="311" t="s">
        <v>27</v>
      </c>
      <c r="D149" s="1"/>
      <c r="E149" s="4">
        <v>18</v>
      </c>
      <c r="F149" s="4">
        <v>126</v>
      </c>
      <c r="G149" s="306" t="s">
        <v>27</v>
      </c>
      <c r="H149" s="1"/>
      <c r="I149" s="4">
        <v>18</v>
      </c>
      <c r="J149" s="4">
        <v>123</v>
      </c>
      <c r="K149" s="300" t="s">
        <v>27</v>
      </c>
      <c r="L149" s="1"/>
      <c r="M149" s="4">
        <v>18</v>
      </c>
      <c r="N149" s="4">
        <v>123</v>
      </c>
      <c r="O149" s="295" t="s">
        <v>27</v>
      </c>
      <c r="P149" s="1"/>
      <c r="Q149" s="4">
        <v>18</v>
      </c>
      <c r="R149" s="4">
        <v>127</v>
      </c>
      <c r="S149" s="290" t="s">
        <v>27</v>
      </c>
      <c r="T149" s="1"/>
      <c r="U149" s="4">
        <v>18</v>
      </c>
      <c r="V149" s="4">
        <v>124</v>
      </c>
      <c r="W149" s="286" t="s">
        <v>76</v>
      </c>
      <c r="X149" s="1"/>
      <c r="Y149" s="4">
        <v>18</v>
      </c>
      <c r="Z149" s="4">
        <v>124</v>
      </c>
      <c r="AA149" s="280" t="s">
        <v>27</v>
      </c>
      <c r="AB149" s="1"/>
      <c r="AC149" s="4">
        <v>18</v>
      </c>
      <c r="AD149" s="4">
        <v>126</v>
      </c>
      <c r="AE149" s="275" t="s">
        <v>27</v>
      </c>
      <c r="AF149" s="1"/>
      <c r="AG149" s="4">
        <v>18</v>
      </c>
      <c r="AH149" s="4">
        <v>122</v>
      </c>
      <c r="AI149" s="272" t="s">
        <v>76</v>
      </c>
    </row>
    <row r="150" spans="1:35" x14ac:dyDescent="0.35">
      <c r="A150" s="4">
        <v>17</v>
      </c>
      <c r="B150" s="4">
        <v>120</v>
      </c>
      <c r="C150" s="311" t="s">
        <v>27</v>
      </c>
      <c r="D150" s="1"/>
      <c r="E150" s="4">
        <v>17</v>
      </c>
      <c r="F150" s="4">
        <v>123</v>
      </c>
      <c r="G150" s="307" t="s">
        <v>76</v>
      </c>
      <c r="H150" s="1"/>
      <c r="I150" s="4">
        <v>17</v>
      </c>
      <c r="J150" s="4">
        <v>121</v>
      </c>
      <c r="K150" s="300" t="s">
        <v>27</v>
      </c>
      <c r="L150" s="1"/>
      <c r="M150" s="4">
        <v>17</v>
      </c>
      <c r="N150" s="4">
        <v>120</v>
      </c>
      <c r="O150" s="295" t="s">
        <v>27</v>
      </c>
      <c r="P150" s="1"/>
      <c r="Q150" s="4">
        <v>17</v>
      </c>
      <c r="R150" s="4">
        <v>125</v>
      </c>
      <c r="S150" s="290" t="s">
        <v>27</v>
      </c>
      <c r="T150" s="1"/>
      <c r="U150" s="4">
        <v>17</v>
      </c>
      <c r="V150" s="4">
        <v>121</v>
      </c>
      <c r="W150" s="286" t="s">
        <v>76</v>
      </c>
      <c r="X150" s="1"/>
      <c r="Y150" s="4">
        <v>17</v>
      </c>
      <c r="Z150" s="4">
        <v>122</v>
      </c>
      <c r="AA150" s="280" t="s">
        <v>27</v>
      </c>
      <c r="AB150" s="1"/>
      <c r="AC150" s="4">
        <v>17</v>
      </c>
      <c r="AD150" s="4">
        <v>124</v>
      </c>
      <c r="AE150" s="275" t="s">
        <v>27</v>
      </c>
      <c r="AF150" s="1"/>
      <c r="AG150" s="4">
        <v>17</v>
      </c>
      <c r="AH150" s="4">
        <v>120</v>
      </c>
      <c r="AI150" s="272" t="s">
        <v>76</v>
      </c>
    </row>
    <row r="151" spans="1:35" x14ac:dyDescent="0.35">
      <c r="A151" s="4">
        <v>16</v>
      </c>
      <c r="B151" s="4">
        <v>117</v>
      </c>
      <c r="C151" s="311" t="s">
        <v>27</v>
      </c>
      <c r="D151" s="1"/>
      <c r="E151" s="4">
        <v>16</v>
      </c>
      <c r="F151" s="4">
        <v>120</v>
      </c>
      <c r="G151" s="307" t="s">
        <v>76</v>
      </c>
      <c r="H151" s="1"/>
      <c r="I151" s="4">
        <v>16</v>
      </c>
      <c r="J151" s="4">
        <v>118</v>
      </c>
      <c r="K151" s="300" t="s">
        <v>27</v>
      </c>
      <c r="L151" s="1"/>
      <c r="M151" s="4">
        <v>16</v>
      </c>
      <c r="N151" s="4">
        <v>117</v>
      </c>
      <c r="O151" s="295" t="s">
        <v>27</v>
      </c>
      <c r="P151" s="1"/>
      <c r="Q151" s="4">
        <v>16</v>
      </c>
      <c r="R151" s="4">
        <v>122</v>
      </c>
      <c r="S151" s="290" t="s">
        <v>27</v>
      </c>
      <c r="T151" s="1"/>
      <c r="U151" s="4">
        <v>16</v>
      </c>
      <c r="V151" s="4">
        <v>119</v>
      </c>
      <c r="W151" s="286" t="s">
        <v>76</v>
      </c>
      <c r="X151" s="1"/>
      <c r="Y151" s="4">
        <v>16</v>
      </c>
      <c r="Z151" s="4">
        <v>119</v>
      </c>
      <c r="AA151" s="281" t="s">
        <v>76</v>
      </c>
      <c r="AB151" s="1"/>
      <c r="AC151" s="4">
        <v>16</v>
      </c>
      <c r="AD151" s="4">
        <v>121</v>
      </c>
      <c r="AE151" s="275" t="s">
        <v>27</v>
      </c>
      <c r="AF151" s="1"/>
      <c r="AG151" s="4">
        <v>16</v>
      </c>
      <c r="AH151" s="4">
        <v>118</v>
      </c>
      <c r="AI151" s="272" t="s">
        <v>30</v>
      </c>
    </row>
    <row r="152" spans="1:35" x14ac:dyDescent="0.35">
      <c r="A152" s="4">
        <v>15</v>
      </c>
      <c r="B152" s="4">
        <v>114</v>
      </c>
      <c r="C152" s="312" t="s">
        <v>76</v>
      </c>
      <c r="D152" s="1"/>
      <c r="E152" s="4">
        <v>15</v>
      </c>
      <c r="F152" s="4">
        <v>117</v>
      </c>
      <c r="G152" s="307" t="s">
        <v>76</v>
      </c>
      <c r="H152" s="1"/>
      <c r="I152" s="4">
        <v>15</v>
      </c>
      <c r="J152" s="4">
        <v>116</v>
      </c>
      <c r="K152" s="301" t="s">
        <v>76</v>
      </c>
      <c r="L152" s="1"/>
      <c r="M152" s="4">
        <v>15</v>
      </c>
      <c r="N152" s="4">
        <v>114</v>
      </c>
      <c r="O152" s="295" t="s">
        <v>27</v>
      </c>
      <c r="P152" s="1"/>
      <c r="Q152" s="4">
        <v>15</v>
      </c>
      <c r="R152" s="4">
        <v>119</v>
      </c>
      <c r="S152" s="290" t="s">
        <v>27</v>
      </c>
      <c r="T152" s="1"/>
      <c r="U152" s="4">
        <v>15</v>
      </c>
      <c r="V152" s="4">
        <v>117</v>
      </c>
      <c r="W152" s="286" t="s">
        <v>76</v>
      </c>
      <c r="X152" s="1"/>
      <c r="Y152" s="4">
        <v>15</v>
      </c>
      <c r="Z152" s="4">
        <v>117</v>
      </c>
      <c r="AA152" s="281" t="s">
        <v>76</v>
      </c>
      <c r="AB152" s="1"/>
      <c r="AC152" s="4">
        <v>15</v>
      </c>
      <c r="AD152" s="4">
        <v>118</v>
      </c>
      <c r="AE152" s="276" t="s">
        <v>76</v>
      </c>
      <c r="AF152" s="1"/>
      <c r="AG152" s="4">
        <v>15</v>
      </c>
      <c r="AH152" s="4">
        <v>115</v>
      </c>
      <c r="AI152" s="272" t="s">
        <v>30</v>
      </c>
    </row>
    <row r="153" spans="1:35" x14ac:dyDescent="0.35">
      <c r="A153" s="4">
        <v>14</v>
      </c>
      <c r="B153" s="4">
        <v>111</v>
      </c>
      <c r="C153" s="312" t="s">
        <v>76</v>
      </c>
      <c r="D153" s="1"/>
      <c r="E153" s="4">
        <v>14</v>
      </c>
      <c r="F153" s="4">
        <v>115</v>
      </c>
      <c r="G153" s="308" t="s">
        <v>30</v>
      </c>
      <c r="H153" s="1"/>
      <c r="I153" s="4">
        <v>14</v>
      </c>
      <c r="J153" s="4">
        <v>114</v>
      </c>
      <c r="K153" s="301" t="s">
        <v>76</v>
      </c>
      <c r="L153" s="1"/>
      <c r="M153" s="4">
        <v>14</v>
      </c>
      <c r="N153" s="4">
        <v>111</v>
      </c>
      <c r="O153" s="296" t="s">
        <v>75</v>
      </c>
      <c r="P153" s="1"/>
      <c r="Q153" s="4">
        <v>14</v>
      </c>
      <c r="R153" s="4">
        <v>116</v>
      </c>
      <c r="S153" s="291" t="s">
        <v>75</v>
      </c>
      <c r="T153" s="1"/>
      <c r="U153" s="4">
        <v>14</v>
      </c>
      <c r="V153" s="4">
        <v>114</v>
      </c>
      <c r="W153" s="287" t="s">
        <v>30</v>
      </c>
      <c r="X153" s="1"/>
      <c r="Y153" s="4">
        <v>14</v>
      </c>
      <c r="Z153" s="4">
        <v>114</v>
      </c>
      <c r="AA153" s="281" t="s">
        <v>76</v>
      </c>
      <c r="AB153" s="1"/>
      <c r="AC153" s="4">
        <v>14</v>
      </c>
      <c r="AD153" s="4">
        <v>115</v>
      </c>
      <c r="AE153" s="276" t="s">
        <v>76</v>
      </c>
      <c r="AF153" s="1"/>
      <c r="AG153" s="4">
        <v>14</v>
      </c>
      <c r="AH153" s="4">
        <v>113</v>
      </c>
      <c r="AI153" s="272" t="s">
        <v>30</v>
      </c>
    </row>
    <row r="154" spans="1:35" x14ac:dyDescent="0.35">
      <c r="A154" s="4">
        <v>13</v>
      </c>
      <c r="B154" s="4">
        <v>109</v>
      </c>
      <c r="C154" s="312" t="s">
        <v>76</v>
      </c>
      <c r="D154" s="1"/>
      <c r="E154" s="4">
        <v>13</v>
      </c>
      <c r="F154" s="4">
        <v>112</v>
      </c>
      <c r="G154" s="308" t="s">
        <v>30</v>
      </c>
      <c r="H154" s="1"/>
      <c r="I154" s="4">
        <v>13</v>
      </c>
      <c r="J154" s="4">
        <v>112</v>
      </c>
      <c r="K154" s="301" t="s">
        <v>76</v>
      </c>
      <c r="L154" s="1"/>
      <c r="M154" s="4">
        <v>13</v>
      </c>
      <c r="N154" s="4">
        <v>109</v>
      </c>
      <c r="O154" s="296" t="s">
        <v>75</v>
      </c>
      <c r="P154" s="1"/>
      <c r="Q154" s="4">
        <v>13</v>
      </c>
      <c r="R154" s="4">
        <v>113</v>
      </c>
      <c r="S154" s="291" t="s">
        <v>75</v>
      </c>
      <c r="T154" s="1"/>
      <c r="U154" s="4">
        <v>13</v>
      </c>
      <c r="V154" s="4">
        <v>112</v>
      </c>
      <c r="W154" s="287" t="s">
        <v>30</v>
      </c>
      <c r="X154" s="1"/>
      <c r="Y154" s="4">
        <v>13</v>
      </c>
      <c r="Z154" s="4">
        <v>112</v>
      </c>
      <c r="AA154" s="281" t="s">
        <v>76</v>
      </c>
      <c r="AB154" s="1"/>
      <c r="AC154" s="4">
        <v>13</v>
      </c>
      <c r="AD154" s="4">
        <v>113</v>
      </c>
      <c r="AE154" s="276" t="s">
        <v>76</v>
      </c>
      <c r="AF154" s="1"/>
      <c r="AG154" s="4">
        <v>13</v>
      </c>
      <c r="AH154" s="4">
        <v>111</v>
      </c>
      <c r="AI154" s="272" t="s">
        <v>30</v>
      </c>
    </row>
    <row r="155" spans="1:35" x14ac:dyDescent="0.35">
      <c r="A155" s="4">
        <v>12</v>
      </c>
      <c r="B155" s="4">
        <v>106</v>
      </c>
      <c r="C155" s="313" t="s">
        <v>30</v>
      </c>
      <c r="D155" s="1"/>
      <c r="E155" s="4">
        <v>12</v>
      </c>
      <c r="F155" s="4">
        <v>109</v>
      </c>
      <c r="G155" s="309" t="s">
        <v>75</v>
      </c>
      <c r="H155" s="1"/>
      <c r="I155" s="4">
        <v>12</v>
      </c>
      <c r="J155" s="4">
        <v>110</v>
      </c>
      <c r="K155" s="301" t="s">
        <v>76</v>
      </c>
      <c r="L155" s="1"/>
      <c r="M155" s="4">
        <v>12</v>
      </c>
      <c r="N155" s="4">
        <v>106</v>
      </c>
      <c r="O155" s="297" t="s">
        <v>30</v>
      </c>
      <c r="P155" s="1"/>
      <c r="Q155" s="4">
        <v>12</v>
      </c>
      <c r="R155" s="4">
        <v>110</v>
      </c>
      <c r="S155" s="291" t="s">
        <v>75</v>
      </c>
      <c r="T155" s="1"/>
      <c r="U155" s="4">
        <v>12</v>
      </c>
      <c r="V155" s="4">
        <v>110</v>
      </c>
      <c r="W155" s="287" t="s">
        <v>30</v>
      </c>
      <c r="X155" s="1"/>
      <c r="Y155" s="4">
        <v>12</v>
      </c>
      <c r="Z155" s="4">
        <v>109</v>
      </c>
      <c r="AA155" s="282" t="s">
        <v>30</v>
      </c>
      <c r="AB155" s="1"/>
      <c r="AC155" s="4">
        <v>12</v>
      </c>
      <c r="AD155" s="4">
        <v>110</v>
      </c>
      <c r="AE155" s="276" t="s">
        <v>76</v>
      </c>
      <c r="AF155" s="1"/>
      <c r="AG155" s="4">
        <v>12</v>
      </c>
      <c r="AH155" s="4">
        <v>108</v>
      </c>
      <c r="AI155" s="272" t="s">
        <v>30</v>
      </c>
    </row>
    <row r="156" spans="1:35" x14ac:dyDescent="0.35">
      <c r="A156" s="4">
        <v>11</v>
      </c>
      <c r="B156" s="4">
        <v>103</v>
      </c>
      <c r="C156" s="313" t="s">
        <v>30</v>
      </c>
      <c r="D156" s="1"/>
      <c r="E156" s="4">
        <v>11</v>
      </c>
      <c r="F156" s="4">
        <v>106</v>
      </c>
      <c r="G156" s="309" t="s">
        <v>75</v>
      </c>
      <c r="H156" s="1"/>
      <c r="I156" s="4">
        <v>11</v>
      </c>
      <c r="J156" s="4">
        <v>107</v>
      </c>
      <c r="K156" s="302" t="s">
        <v>30</v>
      </c>
      <c r="L156" s="1"/>
      <c r="M156" s="4">
        <v>11</v>
      </c>
      <c r="N156" s="4">
        <v>103</v>
      </c>
      <c r="O156" s="297" t="s">
        <v>30</v>
      </c>
      <c r="P156" s="1"/>
      <c r="Q156" s="4">
        <v>11</v>
      </c>
      <c r="R156" s="4">
        <v>107</v>
      </c>
      <c r="S156" s="292" t="s">
        <v>30</v>
      </c>
      <c r="T156" s="1"/>
      <c r="U156" s="4">
        <v>11</v>
      </c>
      <c r="V156" s="4">
        <v>107</v>
      </c>
      <c r="W156" s="287" t="s">
        <v>30</v>
      </c>
      <c r="X156" s="1"/>
      <c r="Y156" s="4">
        <v>11</v>
      </c>
      <c r="Z156" s="4">
        <v>106</v>
      </c>
      <c r="AA156" s="282" t="s">
        <v>30</v>
      </c>
      <c r="AB156" s="1"/>
      <c r="AC156" s="4">
        <v>11</v>
      </c>
      <c r="AD156" s="4">
        <v>107</v>
      </c>
      <c r="AE156" s="277" t="s">
        <v>30</v>
      </c>
      <c r="AF156" s="1"/>
      <c r="AG156" s="4">
        <v>11</v>
      </c>
      <c r="AH156" s="4">
        <v>106</v>
      </c>
      <c r="AI156" s="273" t="s">
        <v>75</v>
      </c>
    </row>
    <row r="157" spans="1:35" x14ac:dyDescent="0.35">
      <c r="A157" s="4">
        <v>10</v>
      </c>
      <c r="B157" s="4">
        <v>100</v>
      </c>
      <c r="C157" s="313" t="s">
        <v>30</v>
      </c>
      <c r="D157" s="1"/>
      <c r="E157" s="4">
        <v>10</v>
      </c>
      <c r="F157" s="4">
        <v>103</v>
      </c>
      <c r="G157" s="309" t="s">
        <v>75</v>
      </c>
      <c r="H157" s="1"/>
      <c r="I157" s="4">
        <v>10</v>
      </c>
      <c r="J157" s="4">
        <v>105</v>
      </c>
      <c r="K157" s="302" t="s">
        <v>30</v>
      </c>
      <c r="L157" s="1"/>
      <c r="M157" s="4">
        <v>10</v>
      </c>
      <c r="N157" s="4">
        <v>100</v>
      </c>
      <c r="O157" s="298" t="s">
        <v>76</v>
      </c>
      <c r="P157" s="1"/>
      <c r="Q157" s="4">
        <v>10</v>
      </c>
      <c r="R157" s="4">
        <v>105</v>
      </c>
      <c r="S157" s="292" t="s">
        <v>30</v>
      </c>
      <c r="T157" s="1"/>
      <c r="U157" s="4">
        <v>10</v>
      </c>
      <c r="V157" s="4">
        <v>105</v>
      </c>
      <c r="W157" s="288" t="s">
        <v>75</v>
      </c>
      <c r="X157" s="1"/>
      <c r="Y157" s="4">
        <v>10</v>
      </c>
      <c r="Z157" s="4">
        <v>104</v>
      </c>
      <c r="AA157" s="282" t="s">
        <v>30</v>
      </c>
      <c r="AB157" s="1"/>
      <c r="AC157" s="4">
        <v>10</v>
      </c>
      <c r="AD157" s="4">
        <v>105</v>
      </c>
      <c r="AE157" s="277" t="s">
        <v>30</v>
      </c>
      <c r="AF157" s="1"/>
      <c r="AG157" s="4">
        <v>10</v>
      </c>
      <c r="AH157" s="4">
        <v>104</v>
      </c>
      <c r="AI157" s="273" t="s">
        <v>75</v>
      </c>
    </row>
    <row r="158" spans="1:35" x14ac:dyDescent="0.35">
      <c r="A158" s="4">
        <v>9</v>
      </c>
      <c r="B158" s="4">
        <v>97</v>
      </c>
      <c r="C158" s="314" t="s">
        <v>75</v>
      </c>
      <c r="D158" s="1"/>
      <c r="E158" s="4">
        <v>9</v>
      </c>
      <c r="F158" s="4">
        <v>100</v>
      </c>
      <c r="G158" s="310" t="s">
        <v>25</v>
      </c>
      <c r="H158" s="1"/>
      <c r="I158" s="4">
        <v>9</v>
      </c>
      <c r="J158" s="4">
        <v>103</v>
      </c>
      <c r="K158" s="302" t="s">
        <v>30</v>
      </c>
      <c r="L158" s="1"/>
      <c r="M158" s="4">
        <v>9</v>
      </c>
      <c r="N158" s="4">
        <v>97</v>
      </c>
      <c r="O158" s="298" t="s">
        <v>76</v>
      </c>
      <c r="P158" s="1"/>
      <c r="Q158" s="4">
        <v>9</v>
      </c>
      <c r="R158" s="4">
        <v>102</v>
      </c>
      <c r="S158" s="292" t="s">
        <v>30</v>
      </c>
      <c r="T158" s="1"/>
      <c r="U158" s="4">
        <v>9</v>
      </c>
      <c r="V158" s="4">
        <v>102</v>
      </c>
      <c r="W158" s="288" t="s">
        <v>75</v>
      </c>
      <c r="X158" s="1"/>
      <c r="Y158" s="4">
        <v>9</v>
      </c>
      <c r="Z158" s="4">
        <v>101</v>
      </c>
      <c r="AA158" s="283" t="s">
        <v>75</v>
      </c>
      <c r="AB158" s="1"/>
      <c r="AC158" s="4">
        <v>9</v>
      </c>
      <c r="AD158" s="4">
        <v>102</v>
      </c>
      <c r="AE158" s="277" t="s">
        <v>30</v>
      </c>
      <c r="AF158" s="1"/>
      <c r="AG158" s="4">
        <v>9</v>
      </c>
      <c r="AH158" s="4">
        <v>102</v>
      </c>
      <c r="AI158" s="273" t="s">
        <v>75</v>
      </c>
    </row>
    <row r="159" spans="1:35" x14ac:dyDescent="0.35">
      <c r="A159" s="4">
        <v>8</v>
      </c>
      <c r="B159" s="4">
        <v>94</v>
      </c>
      <c r="C159" s="314" t="s">
        <v>75</v>
      </c>
      <c r="D159" s="1"/>
      <c r="E159" s="4">
        <v>8</v>
      </c>
      <c r="F159" s="4">
        <v>97</v>
      </c>
      <c r="G159" s="310" t="s">
        <v>25</v>
      </c>
      <c r="H159" s="1"/>
      <c r="I159" s="4">
        <v>8</v>
      </c>
      <c r="J159" s="4">
        <v>101</v>
      </c>
      <c r="K159" s="302" t="s">
        <v>30</v>
      </c>
      <c r="L159" s="1"/>
      <c r="M159" s="4">
        <v>8</v>
      </c>
      <c r="N159" s="4">
        <v>94</v>
      </c>
      <c r="O159" s="298" t="s">
        <v>76</v>
      </c>
      <c r="P159" s="1"/>
      <c r="Q159" s="4">
        <v>8</v>
      </c>
      <c r="R159" s="4">
        <v>99</v>
      </c>
      <c r="S159" s="292" t="s">
        <v>30</v>
      </c>
      <c r="T159" s="1"/>
      <c r="U159" s="4">
        <v>8</v>
      </c>
      <c r="V159" s="4">
        <v>100</v>
      </c>
      <c r="W159" s="288" t="s">
        <v>75</v>
      </c>
      <c r="X159" s="1"/>
      <c r="Y159" s="4">
        <v>8</v>
      </c>
      <c r="Z159" s="4">
        <v>99</v>
      </c>
      <c r="AA159" s="283" t="s">
        <v>75</v>
      </c>
      <c r="AB159" s="1"/>
      <c r="AC159" s="4">
        <v>8</v>
      </c>
      <c r="AD159" s="4">
        <v>99</v>
      </c>
      <c r="AE159" s="278" t="s">
        <v>75</v>
      </c>
      <c r="AF159" s="1"/>
      <c r="AG159" s="4">
        <v>8</v>
      </c>
      <c r="AH159" s="4">
        <v>99</v>
      </c>
      <c r="AI159" s="273" t="s">
        <v>75</v>
      </c>
    </row>
    <row r="160" spans="1:35" x14ac:dyDescent="0.35">
      <c r="A160" s="4">
        <v>7</v>
      </c>
      <c r="B160" s="4">
        <v>91</v>
      </c>
      <c r="C160" s="314" t="s">
        <v>75</v>
      </c>
      <c r="D160" s="1"/>
      <c r="E160" s="4">
        <v>7</v>
      </c>
      <c r="F160" s="4">
        <v>95</v>
      </c>
      <c r="G160" s="310" t="s">
        <v>25</v>
      </c>
      <c r="H160" s="1"/>
      <c r="I160" s="4">
        <v>7</v>
      </c>
      <c r="J160" s="4">
        <v>98</v>
      </c>
      <c r="K160" s="303" t="s">
        <v>75</v>
      </c>
      <c r="L160" s="1"/>
      <c r="M160" s="4">
        <v>7</v>
      </c>
      <c r="N160" s="4">
        <v>91</v>
      </c>
      <c r="O160" s="299" t="s">
        <v>25</v>
      </c>
      <c r="P160" s="1"/>
      <c r="Q160" s="4">
        <v>7</v>
      </c>
      <c r="R160" s="4">
        <v>96</v>
      </c>
      <c r="S160" s="293" t="s">
        <v>76</v>
      </c>
      <c r="T160" s="1"/>
      <c r="U160" s="4">
        <v>7</v>
      </c>
      <c r="V160" s="4">
        <v>98</v>
      </c>
      <c r="W160" s="288" t="s">
        <v>75</v>
      </c>
      <c r="X160" s="1"/>
      <c r="Y160" s="4">
        <v>7</v>
      </c>
      <c r="Z160" s="4">
        <v>96</v>
      </c>
      <c r="AA160" s="283" t="s">
        <v>75</v>
      </c>
      <c r="AB160" s="1"/>
      <c r="AC160" s="4">
        <v>7</v>
      </c>
      <c r="AD160" s="4">
        <v>96</v>
      </c>
      <c r="AE160" s="278" t="s">
        <v>75</v>
      </c>
      <c r="AF160" s="1"/>
      <c r="AG160" s="4">
        <v>7</v>
      </c>
      <c r="AH160" s="4">
        <v>97</v>
      </c>
      <c r="AI160" s="274" t="s">
        <v>25</v>
      </c>
    </row>
    <row r="161" spans="1:35" x14ac:dyDescent="0.35">
      <c r="A161" s="4">
        <v>6</v>
      </c>
      <c r="B161" s="4">
        <v>89</v>
      </c>
      <c r="C161" s="315" t="s">
        <v>25</v>
      </c>
      <c r="D161" s="1"/>
      <c r="E161" s="4">
        <v>6</v>
      </c>
      <c r="F161" s="4">
        <v>92</v>
      </c>
      <c r="G161" s="310" t="s">
        <v>25</v>
      </c>
      <c r="H161" s="1"/>
      <c r="I161" s="4">
        <v>6</v>
      </c>
      <c r="J161" s="4">
        <v>96</v>
      </c>
      <c r="K161" s="303" t="s">
        <v>75</v>
      </c>
      <c r="L161" s="1"/>
      <c r="M161" s="4">
        <v>6</v>
      </c>
      <c r="N161" s="4">
        <v>89</v>
      </c>
      <c r="O161" s="299" t="s">
        <v>25</v>
      </c>
      <c r="P161" s="1"/>
      <c r="Q161" s="4">
        <v>6</v>
      </c>
      <c r="R161" s="4">
        <v>93</v>
      </c>
      <c r="S161" s="293" t="s">
        <v>76</v>
      </c>
      <c r="T161" s="1"/>
      <c r="U161" s="4">
        <v>6</v>
      </c>
      <c r="V161" s="4">
        <v>95</v>
      </c>
      <c r="W161" s="288" t="s">
        <v>75</v>
      </c>
      <c r="X161" s="1"/>
      <c r="Y161" s="4">
        <v>6</v>
      </c>
      <c r="Z161" s="4">
        <v>94</v>
      </c>
      <c r="AA161" s="284" t="s">
        <v>25</v>
      </c>
      <c r="AB161" s="1"/>
      <c r="AC161" s="4">
        <v>6</v>
      </c>
      <c r="AD161" s="4">
        <v>94</v>
      </c>
      <c r="AE161" s="278" t="s">
        <v>75</v>
      </c>
      <c r="AF161" s="1"/>
      <c r="AG161" s="4">
        <v>6</v>
      </c>
      <c r="AH161" s="4">
        <v>95</v>
      </c>
      <c r="AI161" s="274" t="s">
        <v>25</v>
      </c>
    </row>
    <row r="162" spans="1:35" x14ac:dyDescent="0.35">
      <c r="A162" s="4">
        <v>5</v>
      </c>
      <c r="B162" s="4">
        <v>86</v>
      </c>
      <c r="C162" s="315" t="s">
        <v>25</v>
      </c>
      <c r="D162" s="1"/>
      <c r="E162" s="4">
        <v>5</v>
      </c>
      <c r="F162" s="4">
        <v>89</v>
      </c>
      <c r="G162" s="310" t="s">
        <v>25</v>
      </c>
      <c r="H162" s="1"/>
      <c r="I162" s="4">
        <v>5</v>
      </c>
      <c r="J162" s="4">
        <v>94</v>
      </c>
      <c r="K162" s="303" t="s">
        <v>75</v>
      </c>
      <c r="L162" s="1"/>
      <c r="M162" s="4">
        <v>5</v>
      </c>
      <c r="N162" s="4">
        <v>86</v>
      </c>
      <c r="O162" s="299" t="s">
        <v>25</v>
      </c>
      <c r="P162" s="1"/>
      <c r="Q162" s="4">
        <v>5</v>
      </c>
      <c r="R162" s="4">
        <v>90</v>
      </c>
      <c r="S162" s="293" t="s">
        <v>76</v>
      </c>
      <c r="T162" s="1"/>
      <c r="U162" s="4">
        <v>5</v>
      </c>
      <c r="V162" s="4">
        <v>93</v>
      </c>
      <c r="W162" s="289" t="s">
        <v>25</v>
      </c>
      <c r="X162" s="1"/>
      <c r="Y162" s="4">
        <v>5</v>
      </c>
      <c r="Z162" s="4">
        <v>91</v>
      </c>
      <c r="AA162" s="284" t="s">
        <v>25</v>
      </c>
      <c r="AB162" s="1"/>
      <c r="AC162" s="4">
        <v>5</v>
      </c>
      <c r="AD162" s="4">
        <v>91</v>
      </c>
      <c r="AE162" s="278" t="s">
        <v>75</v>
      </c>
      <c r="AF162" s="1"/>
      <c r="AG162" s="4">
        <v>5</v>
      </c>
      <c r="AH162" s="4">
        <v>93</v>
      </c>
      <c r="AI162" s="274" t="s">
        <v>25</v>
      </c>
    </row>
    <row r="163" spans="1:35" x14ac:dyDescent="0.35">
      <c r="A163" s="4">
        <v>4</v>
      </c>
      <c r="B163" s="4">
        <v>83</v>
      </c>
      <c r="C163" s="315" t="s">
        <v>25</v>
      </c>
      <c r="D163" s="1"/>
      <c r="E163" s="4">
        <v>4</v>
      </c>
      <c r="F163" s="4">
        <v>86</v>
      </c>
      <c r="G163" s="310" t="s">
        <v>25</v>
      </c>
      <c r="H163" s="1"/>
      <c r="I163" s="4">
        <v>4</v>
      </c>
      <c r="J163" s="4">
        <v>92</v>
      </c>
      <c r="K163" s="304" t="s">
        <v>25</v>
      </c>
      <c r="L163" s="1"/>
      <c r="M163" s="4">
        <v>4</v>
      </c>
      <c r="N163" s="4">
        <v>83</v>
      </c>
      <c r="O163" s="299" t="s">
        <v>25</v>
      </c>
      <c r="P163" s="1"/>
      <c r="Q163" s="4">
        <v>4</v>
      </c>
      <c r="R163" s="4">
        <v>87</v>
      </c>
      <c r="S163" s="294" t="s">
        <v>25</v>
      </c>
      <c r="T163" s="1"/>
      <c r="U163" s="4">
        <v>4</v>
      </c>
      <c r="V163" s="4">
        <v>90</v>
      </c>
      <c r="W163" s="289" t="s">
        <v>25</v>
      </c>
      <c r="X163" s="1"/>
      <c r="Y163" s="4">
        <v>4</v>
      </c>
      <c r="Z163" s="4">
        <v>88</v>
      </c>
      <c r="AA163" s="284" t="s">
        <v>25</v>
      </c>
      <c r="AB163" s="1"/>
      <c r="AC163" s="4">
        <v>4</v>
      </c>
      <c r="AD163" s="4">
        <v>88</v>
      </c>
      <c r="AE163" s="279" t="s">
        <v>25</v>
      </c>
      <c r="AF163" s="1"/>
      <c r="AG163" s="4">
        <v>4</v>
      </c>
      <c r="AH163" s="4">
        <v>90</v>
      </c>
      <c r="AI163" s="274" t="s">
        <v>25</v>
      </c>
    </row>
    <row r="164" spans="1:35" x14ac:dyDescent="0.35">
      <c r="A164" s="4">
        <v>3</v>
      </c>
      <c r="B164" s="4">
        <v>80</v>
      </c>
      <c r="C164" s="315" t="s">
        <v>25</v>
      </c>
      <c r="D164" s="1"/>
      <c r="E164" s="4">
        <v>3</v>
      </c>
      <c r="F164" s="4">
        <v>83</v>
      </c>
      <c r="G164" s="310" t="s">
        <v>25</v>
      </c>
      <c r="H164" s="1"/>
      <c r="I164" s="4">
        <v>3</v>
      </c>
      <c r="J164" s="4">
        <v>90</v>
      </c>
      <c r="K164" s="304" t="s">
        <v>25</v>
      </c>
      <c r="L164" s="1"/>
      <c r="M164" s="4">
        <v>3</v>
      </c>
      <c r="N164" s="4">
        <v>80</v>
      </c>
      <c r="O164" s="299" t="s">
        <v>25</v>
      </c>
      <c r="P164" s="1"/>
      <c r="Q164" s="4">
        <v>3</v>
      </c>
      <c r="R164" s="4">
        <v>85</v>
      </c>
      <c r="S164" s="294" t="s">
        <v>25</v>
      </c>
      <c r="T164" s="1"/>
      <c r="U164" s="4">
        <v>3</v>
      </c>
      <c r="V164" s="4">
        <v>88</v>
      </c>
      <c r="W164" s="289" t="s">
        <v>25</v>
      </c>
      <c r="X164" s="1"/>
      <c r="Y164" s="4">
        <v>3</v>
      </c>
      <c r="Z164" s="4">
        <v>86</v>
      </c>
      <c r="AA164" s="284" t="s">
        <v>25</v>
      </c>
      <c r="AB164" s="1"/>
      <c r="AC164" s="4">
        <v>3</v>
      </c>
      <c r="AD164" s="4">
        <v>86</v>
      </c>
      <c r="AE164" s="279" t="s">
        <v>25</v>
      </c>
      <c r="AF164" s="1"/>
      <c r="AG164" s="4">
        <v>3</v>
      </c>
      <c r="AH164" s="4">
        <v>88</v>
      </c>
      <c r="AI164" s="274" t="s">
        <v>25</v>
      </c>
    </row>
    <row r="165" spans="1:35" x14ac:dyDescent="0.35">
      <c r="A165" s="4">
        <v>2</v>
      </c>
      <c r="B165" s="4">
        <v>77</v>
      </c>
      <c r="C165" s="315" t="s">
        <v>25</v>
      </c>
      <c r="D165" s="1"/>
      <c r="E165" s="4">
        <v>2</v>
      </c>
      <c r="F165" s="4">
        <v>80</v>
      </c>
      <c r="G165" s="310" t="s">
        <v>25</v>
      </c>
      <c r="H165" s="1"/>
      <c r="I165" s="4">
        <v>2</v>
      </c>
      <c r="J165" s="4">
        <v>87</v>
      </c>
      <c r="K165" s="304" t="s">
        <v>25</v>
      </c>
      <c r="L165" s="1"/>
      <c r="M165" s="4">
        <v>2</v>
      </c>
      <c r="N165" s="4">
        <v>77</v>
      </c>
      <c r="O165" s="299" t="s">
        <v>25</v>
      </c>
      <c r="P165" s="1"/>
      <c r="Q165" s="4">
        <v>2</v>
      </c>
      <c r="R165" s="4">
        <v>82</v>
      </c>
      <c r="S165" s="294" t="s">
        <v>25</v>
      </c>
      <c r="T165" s="1"/>
      <c r="U165" s="4">
        <v>2</v>
      </c>
      <c r="V165" s="4">
        <v>86</v>
      </c>
      <c r="W165" s="289" t="s">
        <v>25</v>
      </c>
      <c r="X165" s="1"/>
      <c r="Y165" s="4">
        <v>2</v>
      </c>
      <c r="Z165" s="4">
        <v>83</v>
      </c>
      <c r="AA165" s="284" t="s">
        <v>25</v>
      </c>
      <c r="AB165" s="1"/>
      <c r="AC165" s="4">
        <v>2</v>
      </c>
      <c r="AD165" s="4">
        <v>83</v>
      </c>
      <c r="AE165" s="279" t="s">
        <v>25</v>
      </c>
      <c r="AF165" s="1"/>
      <c r="AG165" s="4">
        <v>2</v>
      </c>
      <c r="AH165" s="4">
        <v>86</v>
      </c>
      <c r="AI165" s="274" t="s">
        <v>25</v>
      </c>
    </row>
    <row r="166" spans="1:35" x14ac:dyDescent="0.35">
      <c r="A166" s="4">
        <v>1</v>
      </c>
      <c r="B166" s="4">
        <v>74</v>
      </c>
      <c r="C166" s="315" t="s">
        <v>25</v>
      </c>
      <c r="D166" s="1"/>
      <c r="E166" s="4">
        <v>1</v>
      </c>
      <c r="F166" s="4">
        <v>77</v>
      </c>
      <c r="G166" s="310" t="s">
        <v>25</v>
      </c>
      <c r="H166" s="1"/>
      <c r="I166" s="4">
        <v>1</v>
      </c>
      <c r="J166" s="4">
        <v>85</v>
      </c>
      <c r="K166" s="304" t="s">
        <v>25</v>
      </c>
      <c r="L166" s="1"/>
      <c r="M166" s="4">
        <v>1</v>
      </c>
      <c r="N166" s="4">
        <v>74</v>
      </c>
      <c r="O166" s="299" t="s">
        <v>25</v>
      </c>
      <c r="P166" s="1"/>
      <c r="Q166" s="4">
        <v>1</v>
      </c>
      <c r="R166" s="4">
        <v>79</v>
      </c>
      <c r="S166" s="294" t="s">
        <v>25</v>
      </c>
      <c r="T166" s="1"/>
      <c r="U166" s="4">
        <v>1</v>
      </c>
      <c r="V166" s="4">
        <v>83</v>
      </c>
      <c r="W166" s="289" t="s">
        <v>25</v>
      </c>
      <c r="X166" s="1"/>
      <c r="Y166" s="4">
        <v>1</v>
      </c>
      <c r="Z166" s="4">
        <v>81</v>
      </c>
      <c r="AA166" s="284" t="s">
        <v>25</v>
      </c>
      <c r="AB166" s="1"/>
      <c r="AC166" s="4">
        <v>1</v>
      </c>
      <c r="AD166" s="4">
        <v>80</v>
      </c>
      <c r="AE166" s="279" t="s">
        <v>25</v>
      </c>
      <c r="AF166" s="1"/>
      <c r="AG166" s="4">
        <v>1</v>
      </c>
      <c r="AH166" s="4">
        <v>83</v>
      </c>
      <c r="AI166" s="274" t="s">
        <v>25</v>
      </c>
    </row>
    <row r="167" spans="1:35" x14ac:dyDescent="0.35">
      <c r="A167" s="4">
        <v>0</v>
      </c>
      <c r="B167" s="9">
        <v>71</v>
      </c>
      <c r="C167" s="315" t="s">
        <v>25</v>
      </c>
      <c r="D167" s="1"/>
      <c r="E167" s="4">
        <v>0</v>
      </c>
      <c r="F167" s="4">
        <v>75</v>
      </c>
      <c r="G167" s="310" t="s">
        <v>25</v>
      </c>
      <c r="H167" s="1"/>
      <c r="I167" s="4">
        <v>0</v>
      </c>
      <c r="J167" s="4">
        <v>83</v>
      </c>
      <c r="K167" s="304" t="s">
        <v>25</v>
      </c>
      <c r="L167" s="1"/>
      <c r="M167" s="4">
        <v>0</v>
      </c>
      <c r="N167" s="4">
        <v>71</v>
      </c>
      <c r="O167" s="299" t="s">
        <v>25</v>
      </c>
      <c r="P167" s="1"/>
      <c r="Q167" s="4">
        <v>0</v>
      </c>
      <c r="R167" s="4">
        <v>76</v>
      </c>
      <c r="S167" s="294" t="s">
        <v>25</v>
      </c>
      <c r="T167" s="1"/>
      <c r="U167" s="4">
        <v>0</v>
      </c>
      <c r="V167" s="4">
        <v>81</v>
      </c>
      <c r="W167" s="289" t="s">
        <v>25</v>
      </c>
      <c r="X167" s="1"/>
      <c r="Y167" s="4">
        <v>0</v>
      </c>
      <c r="Z167" s="4">
        <v>78</v>
      </c>
      <c r="AA167" s="284" t="s">
        <v>25</v>
      </c>
      <c r="AB167" s="1"/>
      <c r="AC167" s="4">
        <v>0</v>
      </c>
      <c r="AD167" s="4">
        <v>78</v>
      </c>
      <c r="AE167" s="279" t="s">
        <v>25</v>
      </c>
      <c r="AF167" s="1"/>
      <c r="AG167" s="4">
        <v>0</v>
      </c>
      <c r="AH167" s="4">
        <v>81</v>
      </c>
      <c r="AI167" s="274" t="s">
        <v>25</v>
      </c>
    </row>
  </sheetData>
  <mergeCells count="60">
    <mergeCell ref="A3:B3"/>
    <mergeCell ref="A4:C4"/>
    <mergeCell ref="E4:G4"/>
    <mergeCell ref="I4:K4"/>
    <mergeCell ref="M4:O4"/>
    <mergeCell ref="Q4:S4"/>
    <mergeCell ref="U4:W4"/>
    <mergeCell ref="Y4:AA4"/>
    <mergeCell ref="AC4:AE4"/>
    <mergeCell ref="AG4:AI4"/>
    <mergeCell ref="A31:B31"/>
    <mergeCell ref="A32:C32"/>
    <mergeCell ref="E32:G32"/>
    <mergeCell ref="I32:K32"/>
    <mergeCell ref="M32:O32"/>
    <mergeCell ref="Q32:S32"/>
    <mergeCell ref="U32:W32"/>
    <mergeCell ref="Y32:AA32"/>
    <mergeCell ref="AC32:AE32"/>
    <mergeCell ref="AG32:AI32"/>
    <mergeCell ref="A59:B59"/>
    <mergeCell ref="A60:C60"/>
    <mergeCell ref="E60:G60"/>
    <mergeCell ref="I60:K60"/>
    <mergeCell ref="M60:O60"/>
    <mergeCell ref="Q60:S60"/>
    <mergeCell ref="U60:W60"/>
    <mergeCell ref="Y60:AA60"/>
    <mergeCell ref="AC60:AE60"/>
    <mergeCell ref="AG60:AI60"/>
    <mergeCell ref="A87:B87"/>
    <mergeCell ref="A88:C88"/>
    <mergeCell ref="E88:G88"/>
    <mergeCell ref="I88:K88"/>
    <mergeCell ref="M88:O88"/>
    <mergeCell ref="Q88:S88"/>
    <mergeCell ref="U88:W88"/>
    <mergeCell ref="Y88:AA88"/>
    <mergeCell ref="AC88:AE88"/>
    <mergeCell ref="AG88:AI88"/>
    <mergeCell ref="A115:B115"/>
    <mergeCell ref="A116:C116"/>
    <mergeCell ref="E116:G116"/>
    <mergeCell ref="I116:K116"/>
    <mergeCell ref="M116:O116"/>
    <mergeCell ref="Q116:S116"/>
    <mergeCell ref="U116:W116"/>
    <mergeCell ref="Y116:AA116"/>
    <mergeCell ref="AC116:AE116"/>
    <mergeCell ref="AG116:AI116"/>
    <mergeCell ref="A143:B143"/>
    <mergeCell ref="A144:C144"/>
    <mergeCell ref="E144:G144"/>
    <mergeCell ref="I144:K144"/>
    <mergeCell ref="M144:O144"/>
    <mergeCell ref="Q144:S144"/>
    <mergeCell ref="U144:W144"/>
    <mergeCell ref="Y144:AA144"/>
    <mergeCell ref="AC144:AE144"/>
    <mergeCell ref="AG144:AI14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273A2-917E-434E-994F-AEF0117B1C18}">
  <sheetPr codeName="Sheet2"/>
  <dimension ref="A1:BG15"/>
  <sheetViews>
    <sheetView topLeftCell="AG1" zoomScale="78" zoomScaleNormal="78" workbookViewId="0">
      <selection activeCell="AZ2" sqref="AZ2 AZ2:BA2"/>
    </sheetView>
  </sheetViews>
  <sheetFormatPr defaultRowHeight="14.5" x14ac:dyDescent="0.35"/>
  <sheetData>
    <row r="1" spans="1:59" x14ac:dyDescent="0.35">
      <c r="A1" s="340" t="s">
        <v>73</v>
      </c>
      <c r="B1" s="340"/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  <c r="S1" s="340"/>
      <c r="T1" s="340"/>
      <c r="U1" s="340"/>
      <c r="V1" s="340"/>
      <c r="W1" s="340"/>
      <c r="X1" s="340"/>
      <c r="Y1" s="340"/>
      <c r="Z1" s="340"/>
      <c r="AA1" s="340"/>
      <c r="AB1" s="340"/>
      <c r="AC1" s="340"/>
      <c r="AD1" s="340"/>
      <c r="AE1" s="340"/>
      <c r="AF1" s="340"/>
      <c r="AG1" s="340"/>
      <c r="AH1" s="340"/>
      <c r="AI1" s="340"/>
      <c r="AJ1" s="340"/>
      <c r="AK1" s="340"/>
      <c r="AL1" s="340"/>
      <c r="AM1" s="340"/>
      <c r="AN1" s="340"/>
      <c r="AO1" s="340"/>
      <c r="AP1" s="340"/>
      <c r="AQ1" s="340"/>
      <c r="AR1" s="340"/>
      <c r="AS1" s="340"/>
      <c r="AT1" s="340"/>
      <c r="AU1" s="340"/>
      <c r="AV1" s="340"/>
      <c r="AW1" s="340"/>
      <c r="AX1" s="340"/>
      <c r="AY1" s="340"/>
      <c r="AZ1" s="340"/>
      <c r="BA1" s="340"/>
      <c r="BB1" s="340"/>
      <c r="BC1" s="340"/>
      <c r="BD1" s="340"/>
      <c r="BE1" s="340"/>
      <c r="BF1" s="340"/>
      <c r="BG1" s="340"/>
    </row>
    <row r="2" spans="1:59" x14ac:dyDescent="0.35">
      <c r="A2" s="339" t="str">
        <f>VLOOKUP(PAPI!A2,'NORMA PAPI'!A6:B15,2,FALSE)</f>
        <v>K</v>
      </c>
      <c r="B2" s="339"/>
      <c r="C2" s="1"/>
      <c r="D2" s="339" t="str">
        <f>VLOOKUP(PAPI!B2,'NORMA PAPI'!D6:E15,2,FALSE)</f>
        <v>K</v>
      </c>
      <c r="E2" s="339"/>
      <c r="F2" s="1"/>
      <c r="G2" s="339" t="str">
        <f>VLOOKUP(PAPI!C2,'NORMA PAPI'!G6:H15,2,FALSE)</f>
        <v>K</v>
      </c>
      <c r="H2" s="339"/>
      <c r="I2" s="1"/>
      <c r="J2" s="339" t="str">
        <f>VLOOKUP(PAPI!D2,'NORMA PAPI'!J6:K15,2,FALSE)</f>
        <v>K</v>
      </c>
      <c r="K2" s="339"/>
      <c r="L2" s="1"/>
      <c r="M2" s="339" t="str">
        <f>VLOOKUP(PAPI!E2,'NORMA PAPI'!M6:N15,2,FALSE)</f>
        <v>K</v>
      </c>
      <c r="N2" s="339"/>
      <c r="O2" s="1"/>
      <c r="P2" s="339" t="str">
        <f>VLOOKUP(PAPI!F2,'NORMA PAPI'!P6:Q15,2,FALSE)</f>
        <v>K</v>
      </c>
      <c r="Q2" s="339"/>
      <c r="R2" s="1"/>
      <c r="S2" s="339" t="str">
        <f>VLOOKUP(PAPI!G2,'NORMA PAPI'!S6:T15,2,FALSE)</f>
        <v>K</v>
      </c>
      <c r="T2" s="339"/>
      <c r="U2" s="1"/>
      <c r="V2" s="339" t="str">
        <f>VLOOKUP(PAPI!M2,'NORMA PAPI'!V6:W15,2,FALSE)</f>
        <v>K</v>
      </c>
      <c r="W2" s="339"/>
      <c r="X2" s="1"/>
      <c r="Y2" s="339" t="str">
        <f>VLOOKUP(PAPI!O2,'NORMA PAPI'!Y6:Z15,2,FALSE)</f>
        <v>K</v>
      </c>
      <c r="Z2" s="339"/>
      <c r="AA2" s="1"/>
      <c r="AB2" s="339" t="str">
        <f>VLOOKUP(PAPI!N2,'NORMA PAPI'!AB6:AC15,2,FALSE)</f>
        <v>K</v>
      </c>
      <c r="AC2" s="339"/>
      <c r="AD2" s="1"/>
      <c r="AE2" s="339" t="str">
        <f>VLOOKUP(PAPI!H2,'NORMA PAPI'!AE6:AF15,2,FALSE)</f>
        <v>K</v>
      </c>
      <c r="AF2" s="339"/>
      <c r="AG2" s="1"/>
      <c r="AH2" s="339" t="str">
        <f>VLOOKUP(PAPI!I2,'NORMA PAPI'!AH6:AI15,2,FALSE)</f>
        <v>K</v>
      </c>
      <c r="AI2" s="339"/>
      <c r="AJ2" s="1"/>
      <c r="AK2" s="339" t="str">
        <f>VLOOKUP(PAPI!Q2,'NORMA PAPI'!AK6:AL15,2,FALSE)</f>
        <v>K</v>
      </c>
      <c r="AL2" s="339"/>
      <c r="AM2" s="1"/>
      <c r="AN2" s="339" t="str">
        <f>VLOOKUP(PAPI!J2,'NORMA PAPI'!AN6:AO15,2,FALSE)</f>
        <v>K</v>
      </c>
      <c r="AO2" s="339"/>
      <c r="AP2" s="1"/>
      <c r="AQ2" s="339" t="str">
        <f>VLOOKUP(PAPI!R2,'NORMA PAPI'!AQ6:AR15,2,FALSE)</f>
        <v>K</v>
      </c>
      <c r="AR2" s="339"/>
      <c r="AS2" s="1"/>
      <c r="AT2" s="339" t="str">
        <f>VLOOKUP(PAPI!K2,'NORMA PAPI'!AT6:AU15,2,FALSE)</f>
        <v>B</v>
      </c>
      <c r="AU2" s="339"/>
      <c r="AV2" s="1"/>
      <c r="AW2" s="339" t="str">
        <f>VLOOKUP(PAPI!P2,'NORMA PAPI'!AW6:AX15,2,FALSE)</f>
        <v>K</v>
      </c>
      <c r="AX2" s="339"/>
      <c r="AY2" s="1"/>
      <c r="AZ2" s="339" t="str">
        <f>VLOOKUP(PAPI!L2,'NORMA PAPI'!AZ6:BA15,2,FALSE)</f>
        <v>B</v>
      </c>
      <c r="BA2" s="339"/>
      <c r="BB2" s="1"/>
      <c r="BC2" s="339" t="str">
        <f>VLOOKUP(PAPI!S2,'NORMA PAPI'!BC6:BD15,2,FALSE)</f>
        <v>K</v>
      </c>
      <c r="BD2" s="339"/>
      <c r="BE2" s="1"/>
      <c r="BF2" s="339" t="str">
        <f>VLOOKUP(PAPI!T2,'NORMA PAPI'!BF6:BG15,2,FALSE)</f>
        <v>K</v>
      </c>
      <c r="BG2" s="339"/>
    </row>
    <row r="3" spans="1:59" x14ac:dyDescent="0.35">
      <c r="A3" s="338" t="s">
        <v>14</v>
      </c>
      <c r="B3" s="338"/>
      <c r="C3" s="2"/>
      <c r="D3" s="338" t="s">
        <v>15</v>
      </c>
      <c r="E3" s="338"/>
      <c r="F3" s="2"/>
      <c r="G3" s="338" t="s">
        <v>16</v>
      </c>
      <c r="H3" s="338"/>
      <c r="I3" s="2"/>
      <c r="J3" s="338" t="s">
        <v>17</v>
      </c>
      <c r="K3" s="338"/>
      <c r="L3" s="2"/>
      <c r="M3" s="338" t="s">
        <v>18</v>
      </c>
      <c r="N3" s="338"/>
      <c r="O3" s="2"/>
      <c r="P3" s="338" t="s">
        <v>19</v>
      </c>
      <c r="Q3" s="338"/>
      <c r="R3" s="2"/>
      <c r="S3" s="338" t="s">
        <v>20</v>
      </c>
      <c r="T3" s="338"/>
      <c r="U3" s="2"/>
      <c r="V3" s="338" t="s">
        <v>26</v>
      </c>
      <c r="W3" s="338"/>
      <c r="X3" s="2"/>
      <c r="Y3" s="338" t="s">
        <v>28</v>
      </c>
      <c r="Z3" s="338"/>
      <c r="AA3" s="2"/>
      <c r="AB3" s="338" t="s">
        <v>27</v>
      </c>
      <c r="AC3" s="338"/>
      <c r="AD3" s="2"/>
      <c r="AE3" s="338" t="s">
        <v>21</v>
      </c>
      <c r="AF3" s="338"/>
      <c r="AG3" s="2"/>
      <c r="AH3" s="338" t="s">
        <v>22</v>
      </c>
      <c r="AI3" s="338"/>
      <c r="AJ3" s="2"/>
      <c r="AK3" s="338" t="s">
        <v>30</v>
      </c>
      <c r="AL3" s="338"/>
      <c r="AM3" s="2"/>
      <c r="AN3" s="338" t="s">
        <v>23</v>
      </c>
      <c r="AO3" s="338"/>
      <c r="AP3" s="2"/>
      <c r="AQ3" s="338" t="s">
        <v>31</v>
      </c>
      <c r="AR3" s="338"/>
      <c r="AS3" s="2"/>
      <c r="AT3" s="338" t="s">
        <v>24</v>
      </c>
      <c r="AU3" s="338"/>
      <c r="AV3" s="2"/>
      <c r="AW3" s="338" t="s">
        <v>29</v>
      </c>
      <c r="AX3" s="338"/>
      <c r="AY3" s="2"/>
      <c r="AZ3" s="338" t="s">
        <v>25</v>
      </c>
      <c r="BA3" s="338"/>
      <c r="BB3" s="2"/>
      <c r="BC3" s="338" t="s">
        <v>32</v>
      </c>
      <c r="BD3" s="338"/>
      <c r="BE3" s="2"/>
      <c r="BF3" s="338" t="s">
        <v>33</v>
      </c>
      <c r="BG3" s="338"/>
    </row>
    <row r="4" spans="1:59" x14ac:dyDescent="0.35">
      <c r="A4" s="3" t="s">
        <v>74</v>
      </c>
      <c r="B4" s="3" t="s">
        <v>52</v>
      </c>
      <c r="C4" s="1"/>
      <c r="D4" s="3" t="s">
        <v>74</v>
      </c>
      <c r="E4" s="3" t="s">
        <v>52</v>
      </c>
      <c r="G4" s="3" t="s">
        <v>74</v>
      </c>
      <c r="H4" s="3" t="s">
        <v>52</v>
      </c>
      <c r="J4" s="3" t="s">
        <v>74</v>
      </c>
      <c r="K4" s="3" t="s">
        <v>52</v>
      </c>
      <c r="M4" s="3" t="s">
        <v>74</v>
      </c>
      <c r="N4" s="3" t="s">
        <v>52</v>
      </c>
      <c r="P4" s="3" t="s">
        <v>74</v>
      </c>
      <c r="Q4" s="3" t="s">
        <v>52</v>
      </c>
      <c r="S4" s="3" t="s">
        <v>74</v>
      </c>
      <c r="T4" s="3" t="s">
        <v>52</v>
      </c>
      <c r="V4" s="3" t="s">
        <v>74</v>
      </c>
      <c r="W4" s="3" t="s">
        <v>52</v>
      </c>
      <c r="Y4" s="3" t="s">
        <v>74</v>
      </c>
      <c r="Z4" s="3" t="s">
        <v>52</v>
      </c>
      <c r="AB4" s="3" t="s">
        <v>74</v>
      </c>
      <c r="AC4" s="3" t="s">
        <v>52</v>
      </c>
      <c r="AE4" s="3" t="s">
        <v>74</v>
      </c>
      <c r="AF4" s="3" t="s">
        <v>52</v>
      </c>
      <c r="AH4" s="3" t="s">
        <v>74</v>
      </c>
      <c r="AI4" s="3" t="s">
        <v>52</v>
      </c>
      <c r="AK4" s="3" t="s">
        <v>74</v>
      </c>
      <c r="AL4" s="3" t="s">
        <v>52</v>
      </c>
      <c r="AN4" s="3" t="s">
        <v>74</v>
      </c>
      <c r="AO4" s="3" t="s">
        <v>52</v>
      </c>
      <c r="AQ4" s="3" t="s">
        <v>74</v>
      </c>
      <c r="AR4" s="3" t="s">
        <v>52</v>
      </c>
      <c r="AT4" s="3" t="s">
        <v>74</v>
      </c>
      <c r="AU4" s="3" t="s">
        <v>52</v>
      </c>
      <c r="AW4" s="3" t="s">
        <v>74</v>
      </c>
      <c r="AX4" s="3" t="s">
        <v>52</v>
      </c>
      <c r="AZ4" s="3" t="s">
        <v>74</v>
      </c>
      <c r="BA4" s="3" t="s">
        <v>52</v>
      </c>
      <c r="BC4" s="3" t="s">
        <v>74</v>
      </c>
      <c r="BD4" s="3" t="s">
        <v>52</v>
      </c>
      <c r="BF4" s="3" t="s">
        <v>74</v>
      </c>
      <c r="BG4" s="3" t="s">
        <v>52</v>
      </c>
    </row>
    <row r="5" spans="1:59" x14ac:dyDescent="0.35">
      <c r="A5" s="4">
        <v>99</v>
      </c>
      <c r="B5" s="4"/>
      <c r="C5" s="2"/>
      <c r="D5" s="4">
        <v>99</v>
      </c>
      <c r="E5" s="4"/>
      <c r="G5" s="4">
        <v>99</v>
      </c>
      <c r="H5" s="4"/>
      <c r="J5" s="4">
        <v>99</v>
      </c>
      <c r="K5" s="4"/>
      <c r="M5" s="4">
        <v>99</v>
      </c>
      <c r="N5" s="4"/>
      <c r="P5" s="4">
        <v>99</v>
      </c>
      <c r="Q5" s="4"/>
      <c r="S5" s="4">
        <v>99</v>
      </c>
      <c r="T5" s="4"/>
      <c r="V5" s="4">
        <v>99</v>
      </c>
      <c r="W5" s="4"/>
      <c r="Y5" s="4">
        <v>99</v>
      </c>
      <c r="Z5" s="4"/>
      <c r="AB5" s="4">
        <v>99</v>
      </c>
      <c r="AC5" s="4"/>
      <c r="AE5" s="4">
        <v>99</v>
      </c>
      <c r="AF5" s="4"/>
      <c r="AH5" s="4">
        <v>99</v>
      </c>
      <c r="AI5" s="4"/>
      <c r="AK5" s="4">
        <v>99</v>
      </c>
      <c r="AL5" s="4"/>
      <c r="AN5" s="4">
        <v>99</v>
      </c>
      <c r="AO5" s="4"/>
      <c r="AQ5" s="4">
        <v>99</v>
      </c>
      <c r="AR5" s="4"/>
      <c r="AT5" s="4">
        <v>99</v>
      </c>
      <c r="AU5" s="4"/>
      <c r="AW5" s="4">
        <v>99</v>
      </c>
      <c r="AX5" s="4"/>
      <c r="AZ5" s="4">
        <v>99</v>
      </c>
      <c r="BA5" s="4"/>
      <c r="BC5" s="4">
        <v>99</v>
      </c>
      <c r="BD5" s="4"/>
      <c r="BF5" s="4">
        <v>99</v>
      </c>
      <c r="BG5" s="4"/>
    </row>
    <row r="6" spans="1:59" x14ac:dyDescent="0.35">
      <c r="A6" s="4">
        <v>9</v>
      </c>
      <c r="B6" s="20" t="s">
        <v>27</v>
      </c>
      <c r="C6" s="2"/>
      <c r="D6" s="4">
        <v>9</v>
      </c>
      <c r="E6" s="20" t="s">
        <v>27</v>
      </c>
      <c r="G6" s="4">
        <v>9</v>
      </c>
      <c r="H6" s="20" t="s">
        <v>27</v>
      </c>
      <c r="J6" s="4">
        <v>9</v>
      </c>
      <c r="K6" s="20" t="s">
        <v>27</v>
      </c>
      <c r="M6" s="4">
        <v>9</v>
      </c>
      <c r="N6" s="20" t="s">
        <v>27</v>
      </c>
      <c r="P6" s="4">
        <v>9</v>
      </c>
      <c r="Q6" s="20" t="s">
        <v>27</v>
      </c>
      <c r="S6" s="4">
        <v>9</v>
      </c>
      <c r="T6" s="20" t="s">
        <v>27</v>
      </c>
      <c r="V6" s="4">
        <v>9</v>
      </c>
      <c r="W6" s="20" t="s">
        <v>27</v>
      </c>
      <c r="Y6" s="4">
        <v>9</v>
      </c>
      <c r="Z6" s="20" t="s">
        <v>27</v>
      </c>
      <c r="AB6" s="4">
        <v>9</v>
      </c>
      <c r="AC6" s="20" t="s">
        <v>27</v>
      </c>
      <c r="AE6" s="4">
        <v>9</v>
      </c>
      <c r="AF6" s="20" t="s">
        <v>27</v>
      </c>
      <c r="AH6" s="4">
        <v>9</v>
      </c>
      <c r="AI6" s="20" t="s">
        <v>27</v>
      </c>
      <c r="AK6" s="4">
        <v>9</v>
      </c>
      <c r="AL6" s="20" t="s">
        <v>27</v>
      </c>
      <c r="AN6" s="4">
        <v>9</v>
      </c>
      <c r="AO6" s="20" t="s">
        <v>27</v>
      </c>
      <c r="AQ6" s="4">
        <v>9</v>
      </c>
      <c r="AR6" s="20" t="s">
        <v>27</v>
      </c>
      <c r="AT6" s="4">
        <v>9</v>
      </c>
      <c r="AU6" s="21" t="s">
        <v>25</v>
      </c>
      <c r="AW6" s="4">
        <v>9</v>
      </c>
      <c r="AX6" s="20" t="s">
        <v>27</v>
      </c>
      <c r="AZ6" s="4">
        <v>9</v>
      </c>
      <c r="BA6" s="21" t="s">
        <v>25</v>
      </c>
      <c r="BC6" s="4">
        <v>9</v>
      </c>
      <c r="BD6" s="20" t="s">
        <v>27</v>
      </c>
      <c r="BF6" s="4">
        <v>9</v>
      </c>
      <c r="BG6" s="20" t="s">
        <v>27</v>
      </c>
    </row>
    <row r="7" spans="1:59" x14ac:dyDescent="0.35">
      <c r="A7" s="4">
        <v>8</v>
      </c>
      <c r="B7" s="20" t="s">
        <v>27</v>
      </c>
      <c r="C7" s="2"/>
      <c r="D7" s="4">
        <v>8</v>
      </c>
      <c r="E7" s="20" t="s">
        <v>27</v>
      </c>
      <c r="G7" s="4">
        <v>8</v>
      </c>
      <c r="H7" s="20" t="s">
        <v>27</v>
      </c>
      <c r="J7" s="4">
        <v>8</v>
      </c>
      <c r="K7" s="20" t="s">
        <v>27</v>
      </c>
      <c r="M7" s="4">
        <v>8</v>
      </c>
      <c r="N7" s="20" t="s">
        <v>27</v>
      </c>
      <c r="P7" s="4">
        <v>8</v>
      </c>
      <c r="Q7" s="20" t="s">
        <v>27</v>
      </c>
      <c r="S7" s="4">
        <v>8</v>
      </c>
      <c r="T7" s="20" t="s">
        <v>27</v>
      </c>
      <c r="V7" s="4">
        <v>8</v>
      </c>
      <c r="W7" s="20" t="s">
        <v>27</v>
      </c>
      <c r="Y7" s="4">
        <v>8</v>
      </c>
      <c r="Z7" s="20" t="s">
        <v>27</v>
      </c>
      <c r="AB7" s="4">
        <v>8</v>
      </c>
      <c r="AC7" s="20" t="s">
        <v>27</v>
      </c>
      <c r="AE7" s="4">
        <v>8</v>
      </c>
      <c r="AF7" s="20" t="s">
        <v>27</v>
      </c>
      <c r="AH7" s="4">
        <v>8</v>
      </c>
      <c r="AI7" s="20" t="s">
        <v>27</v>
      </c>
      <c r="AK7" s="4">
        <v>8</v>
      </c>
      <c r="AL7" s="20" t="s">
        <v>27</v>
      </c>
      <c r="AN7" s="4">
        <v>8</v>
      </c>
      <c r="AO7" s="20" t="s">
        <v>27</v>
      </c>
      <c r="AQ7" s="4">
        <v>8</v>
      </c>
      <c r="AR7" s="20" t="s">
        <v>27</v>
      </c>
      <c r="AT7" s="4">
        <v>8</v>
      </c>
      <c r="AU7" s="22" t="s">
        <v>75</v>
      </c>
      <c r="AW7" s="4">
        <v>8</v>
      </c>
      <c r="AX7" s="20" t="s">
        <v>27</v>
      </c>
      <c r="AZ7" s="4">
        <v>8</v>
      </c>
      <c r="BA7" s="22" t="s">
        <v>75</v>
      </c>
      <c r="BC7" s="4">
        <v>8</v>
      </c>
      <c r="BD7" s="20" t="s">
        <v>27</v>
      </c>
      <c r="BF7" s="4">
        <v>8</v>
      </c>
      <c r="BG7" s="20" t="s">
        <v>27</v>
      </c>
    </row>
    <row r="8" spans="1:59" x14ac:dyDescent="0.35">
      <c r="A8" s="4">
        <v>7</v>
      </c>
      <c r="B8" s="23" t="s">
        <v>76</v>
      </c>
      <c r="C8" s="2"/>
      <c r="D8" s="4">
        <v>7</v>
      </c>
      <c r="E8" s="23" t="s">
        <v>76</v>
      </c>
      <c r="G8" s="4">
        <v>7</v>
      </c>
      <c r="H8" s="23" t="s">
        <v>76</v>
      </c>
      <c r="J8" s="4">
        <v>7</v>
      </c>
      <c r="K8" s="23" t="s">
        <v>76</v>
      </c>
      <c r="M8" s="4">
        <v>7</v>
      </c>
      <c r="N8" s="23" t="s">
        <v>76</v>
      </c>
      <c r="P8" s="4">
        <v>7</v>
      </c>
      <c r="Q8" s="23" t="s">
        <v>76</v>
      </c>
      <c r="S8" s="4">
        <v>7</v>
      </c>
      <c r="T8" s="20" t="s">
        <v>27</v>
      </c>
      <c r="V8" s="4">
        <v>7</v>
      </c>
      <c r="W8" s="20" t="s">
        <v>27</v>
      </c>
      <c r="Y8" s="4">
        <v>7</v>
      </c>
      <c r="Z8" s="20" t="s">
        <v>27</v>
      </c>
      <c r="AB8" s="4">
        <v>7</v>
      </c>
      <c r="AC8" s="20" t="s">
        <v>27</v>
      </c>
      <c r="AE8" s="4">
        <v>7</v>
      </c>
      <c r="AF8" s="20" t="s">
        <v>27</v>
      </c>
      <c r="AH8" s="4">
        <v>7</v>
      </c>
      <c r="AI8" s="20" t="s">
        <v>27</v>
      </c>
      <c r="AK8" s="4">
        <v>7</v>
      </c>
      <c r="AL8" s="20" t="s">
        <v>27</v>
      </c>
      <c r="AN8" s="4">
        <v>7</v>
      </c>
      <c r="AO8" s="20" t="s">
        <v>27</v>
      </c>
      <c r="AQ8" s="4">
        <v>7</v>
      </c>
      <c r="AR8" s="23" t="s">
        <v>76</v>
      </c>
      <c r="AT8" s="4">
        <v>7</v>
      </c>
      <c r="AU8" s="24" t="s">
        <v>30</v>
      </c>
      <c r="AW8" s="4">
        <v>7</v>
      </c>
      <c r="AX8" s="20" t="s">
        <v>27</v>
      </c>
      <c r="AZ8" s="4">
        <v>7</v>
      </c>
      <c r="BA8" s="24" t="s">
        <v>30</v>
      </c>
      <c r="BC8" s="4">
        <v>7</v>
      </c>
      <c r="BD8" s="23" t="s">
        <v>76</v>
      </c>
      <c r="BF8" s="4">
        <v>7</v>
      </c>
      <c r="BG8" s="23" t="s">
        <v>76</v>
      </c>
    </row>
    <row r="9" spans="1:59" x14ac:dyDescent="0.35">
      <c r="A9" s="4">
        <v>6</v>
      </c>
      <c r="B9" s="23" t="s">
        <v>76</v>
      </c>
      <c r="C9" s="2"/>
      <c r="D9" s="4">
        <v>6</v>
      </c>
      <c r="E9" s="23" t="s">
        <v>76</v>
      </c>
      <c r="G9" s="4">
        <v>6</v>
      </c>
      <c r="H9" s="23" t="s">
        <v>76</v>
      </c>
      <c r="J9" s="4">
        <v>6</v>
      </c>
      <c r="K9" s="23" t="s">
        <v>76</v>
      </c>
      <c r="M9" s="4">
        <v>6</v>
      </c>
      <c r="N9" s="23" t="s">
        <v>76</v>
      </c>
      <c r="P9" s="4">
        <v>6</v>
      </c>
      <c r="Q9" s="23" t="s">
        <v>76</v>
      </c>
      <c r="S9" s="4">
        <v>6</v>
      </c>
      <c r="T9" s="23" t="s">
        <v>76</v>
      </c>
      <c r="V9" s="4">
        <v>6</v>
      </c>
      <c r="W9" s="23" t="s">
        <v>76</v>
      </c>
      <c r="Y9" s="4">
        <v>6</v>
      </c>
      <c r="Z9" s="20" t="s">
        <v>27</v>
      </c>
      <c r="AB9" s="4">
        <v>6</v>
      </c>
      <c r="AC9" s="20" t="s">
        <v>27</v>
      </c>
      <c r="AE9" s="4">
        <v>6</v>
      </c>
      <c r="AF9" s="20" t="s">
        <v>27</v>
      </c>
      <c r="AH9" s="4">
        <v>6</v>
      </c>
      <c r="AI9" s="20" t="s">
        <v>27</v>
      </c>
      <c r="AK9" s="4">
        <v>6</v>
      </c>
      <c r="AL9" s="20" t="s">
        <v>27</v>
      </c>
      <c r="AN9" s="4">
        <v>6</v>
      </c>
      <c r="AO9" s="23" t="s">
        <v>76</v>
      </c>
      <c r="AQ9" s="4">
        <v>6</v>
      </c>
      <c r="AR9" s="23" t="s">
        <v>76</v>
      </c>
      <c r="AT9" s="4">
        <v>6</v>
      </c>
      <c r="AU9" s="24" t="s">
        <v>30</v>
      </c>
      <c r="AW9" s="4">
        <v>6</v>
      </c>
      <c r="AX9" s="23" t="s">
        <v>76</v>
      </c>
      <c r="AZ9" s="4">
        <v>6</v>
      </c>
      <c r="BA9" s="24" t="s">
        <v>30</v>
      </c>
      <c r="BC9" s="4">
        <v>6</v>
      </c>
      <c r="BD9" s="23" t="s">
        <v>76</v>
      </c>
      <c r="BF9" s="4">
        <v>6</v>
      </c>
      <c r="BG9" s="23" t="s">
        <v>76</v>
      </c>
    </row>
    <row r="10" spans="1:59" x14ac:dyDescent="0.35">
      <c r="A10" s="4">
        <v>5</v>
      </c>
      <c r="B10" s="24" t="s">
        <v>30</v>
      </c>
      <c r="C10" s="2"/>
      <c r="D10" s="4">
        <v>5</v>
      </c>
      <c r="E10" s="24" t="s">
        <v>30</v>
      </c>
      <c r="G10" s="4">
        <v>5</v>
      </c>
      <c r="H10" s="24" t="s">
        <v>30</v>
      </c>
      <c r="J10" s="4">
        <v>5</v>
      </c>
      <c r="K10" s="23" t="s">
        <v>76</v>
      </c>
      <c r="M10" s="4">
        <v>5</v>
      </c>
      <c r="N10" s="23" t="s">
        <v>76</v>
      </c>
      <c r="P10" s="4">
        <v>5</v>
      </c>
      <c r="Q10" s="23" t="s">
        <v>76</v>
      </c>
      <c r="S10" s="4">
        <v>5</v>
      </c>
      <c r="T10" s="24" t="s">
        <v>30</v>
      </c>
      <c r="V10" s="4">
        <v>5</v>
      </c>
      <c r="W10" s="23" t="s">
        <v>76</v>
      </c>
      <c r="Y10" s="4">
        <v>5</v>
      </c>
      <c r="Z10" s="23" t="s">
        <v>76</v>
      </c>
      <c r="AB10" s="4">
        <v>5</v>
      </c>
      <c r="AC10" s="23" t="s">
        <v>76</v>
      </c>
      <c r="AE10" s="4">
        <v>5</v>
      </c>
      <c r="AF10" s="23" t="s">
        <v>76</v>
      </c>
      <c r="AH10" s="4">
        <v>5</v>
      </c>
      <c r="AI10" s="23" t="s">
        <v>76</v>
      </c>
      <c r="AK10" s="4">
        <v>5</v>
      </c>
      <c r="AL10" s="23" t="s">
        <v>76</v>
      </c>
      <c r="AN10" s="4">
        <v>5</v>
      </c>
      <c r="AO10" s="23" t="s">
        <v>76</v>
      </c>
      <c r="AQ10" s="4">
        <v>5</v>
      </c>
      <c r="AR10" s="23" t="s">
        <v>76</v>
      </c>
      <c r="AT10" s="4">
        <v>5</v>
      </c>
      <c r="AU10" s="24" t="s">
        <v>30</v>
      </c>
      <c r="AW10" s="4">
        <v>5</v>
      </c>
      <c r="AX10" s="23" t="s">
        <v>76</v>
      </c>
      <c r="AZ10" s="4">
        <v>5</v>
      </c>
      <c r="BA10" s="24" t="s">
        <v>30</v>
      </c>
      <c r="BC10" s="4">
        <v>5</v>
      </c>
      <c r="BD10" s="24" t="s">
        <v>30</v>
      </c>
      <c r="BF10" s="4">
        <v>5</v>
      </c>
      <c r="BG10" s="24" t="s">
        <v>30</v>
      </c>
    </row>
    <row r="11" spans="1:59" x14ac:dyDescent="0.35">
      <c r="A11" s="4">
        <v>4</v>
      </c>
      <c r="B11" s="24" t="s">
        <v>30</v>
      </c>
      <c r="C11" s="2"/>
      <c r="D11" s="4">
        <v>4</v>
      </c>
      <c r="E11" s="24" t="s">
        <v>30</v>
      </c>
      <c r="G11" s="4">
        <v>4</v>
      </c>
      <c r="H11" s="22" t="s">
        <v>75</v>
      </c>
      <c r="J11" s="4">
        <v>4</v>
      </c>
      <c r="K11" s="24" t="s">
        <v>30</v>
      </c>
      <c r="M11" s="4">
        <v>4</v>
      </c>
      <c r="N11" s="24" t="s">
        <v>30</v>
      </c>
      <c r="P11" s="4">
        <v>4</v>
      </c>
      <c r="Q11" s="24" t="s">
        <v>30</v>
      </c>
      <c r="S11" s="4">
        <v>4</v>
      </c>
      <c r="T11" s="24" t="s">
        <v>30</v>
      </c>
      <c r="V11" s="4">
        <v>4</v>
      </c>
      <c r="W11" s="24" t="s">
        <v>30</v>
      </c>
      <c r="Y11" s="4">
        <v>4</v>
      </c>
      <c r="Z11" s="23" t="s">
        <v>76</v>
      </c>
      <c r="AB11" s="4">
        <v>4</v>
      </c>
      <c r="AC11" s="23" t="s">
        <v>76</v>
      </c>
      <c r="AE11" s="4">
        <v>4</v>
      </c>
      <c r="AF11" s="23" t="s">
        <v>76</v>
      </c>
      <c r="AH11" s="4">
        <v>4</v>
      </c>
      <c r="AI11" s="23" t="s">
        <v>76</v>
      </c>
      <c r="AK11" s="4">
        <v>4</v>
      </c>
      <c r="AL11" s="23" t="s">
        <v>76</v>
      </c>
      <c r="AN11" s="4">
        <v>4</v>
      </c>
      <c r="AO11" s="24" t="s">
        <v>30</v>
      </c>
      <c r="AQ11" s="4">
        <v>4</v>
      </c>
      <c r="AR11" s="24" t="s">
        <v>30</v>
      </c>
      <c r="AT11" s="4">
        <v>4</v>
      </c>
      <c r="AU11" s="23" t="s">
        <v>76</v>
      </c>
      <c r="AW11" s="4">
        <v>4</v>
      </c>
      <c r="AX11" s="24" t="s">
        <v>30</v>
      </c>
      <c r="AZ11" s="4">
        <v>4</v>
      </c>
      <c r="BA11" s="23" t="s">
        <v>76</v>
      </c>
      <c r="BC11" s="4">
        <v>4</v>
      </c>
      <c r="BD11" s="24" t="s">
        <v>30</v>
      </c>
      <c r="BF11" s="4">
        <v>4</v>
      </c>
      <c r="BG11" s="24" t="s">
        <v>30</v>
      </c>
    </row>
    <row r="12" spans="1:59" x14ac:dyDescent="0.35">
      <c r="A12" s="4">
        <v>3</v>
      </c>
      <c r="B12" s="24" t="s">
        <v>30</v>
      </c>
      <c r="C12" s="2"/>
      <c r="D12" s="4">
        <v>3</v>
      </c>
      <c r="E12" s="24" t="s">
        <v>30</v>
      </c>
      <c r="G12" s="4">
        <v>3</v>
      </c>
      <c r="H12" s="22" t="s">
        <v>75</v>
      </c>
      <c r="J12" s="4">
        <v>3</v>
      </c>
      <c r="K12" s="24" t="s">
        <v>30</v>
      </c>
      <c r="M12" s="4">
        <v>3</v>
      </c>
      <c r="N12" s="24" t="s">
        <v>30</v>
      </c>
      <c r="P12" s="4">
        <v>3</v>
      </c>
      <c r="Q12" s="24" t="s">
        <v>30</v>
      </c>
      <c r="S12" s="4">
        <v>3</v>
      </c>
      <c r="T12" s="22" t="s">
        <v>75</v>
      </c>
      <c r="V12" s="4">
        <v>3</v>
      </c>
      <c r="W12" s="24" t="s">
        <v>30</v>
      </c>
      <c r="Y12" s="4">
        <v>3</v>
      </c>
      <c r="Z12" s="24" t="s">
        <v>30</v>
      </c>
      <c r="AB12" s="4">
        <v>3</v>
      </c>
      <c r="AC12" s="24" t="s">
        <v>30</v>
      </c>
      <c r="AE12" s="4">
        <v>3</v>
      </c>
      <c r="AF12" s="24" t="s">
        <v>30</v>
      </c>
      <c r="AH12" s="4">
        <v>3</v>
      </c>
      <c r="AI12" s="24" t="s">
        <v>30</v>
      </c>
      <c r="AK12" s="4">
        <v>3</v>
      </c>
      <c r="AL12" s="24" t="s">
        <v>30</v>
      </c>
      <c r="AN12" s="4">
        <v>3</v>
      </c>
      <c r="AO12" s="24" t="s">
        <v>30</v>
      </c>
      <c r="AQ12" s="4">
        <v>3</v>
      </c>
      <c r="AR12" s="24" t="s">
        <v>30</v>
      </c>
      <c r="AT12" s="4">
        <v>3</v>
      </c>
      <c r="AU12" s="23" t="s">
        <v>76</v>
      </c>
      <c r="AW12" s="4">
        <v>3</v>
      </c>
      <c r="AX12" s="24" t="s">
        <v>30</v>
      </c>
      <c r="AZ12" s="4">
        <v>3</v>
      </c>
      <c r="BA12" s="23" t="s">
        <v>76</v>
      </c>
      <c r="BC12" s="4">
        <v>3</v>
      </c>
      <c r="BD12" s="22" t="s">
        <v>75</v>
      </c>
      <c r="BF12" s="4">
        <v>3</v>
      </c>
      <c r="BG12" s="22" t="s">
        <v>75</v>
      </c>
    </row>
    <row r="13" spans="1:59" x14ac:dyDescent="0.35">
      <c r="A13" s="4">
        <v>2</v>
      </c>
      <c r="B13" s="22" t="s">
        <v>75</v>
      </c>
      <c r="C13" s="2"/>
      <c r="D13" s="4">
        <v>2</v>
      </c>
      <c r="E13" s="22" t="s">
        <v>75</v>
      </c>
      <c r="G13" s="4">
        <v>2</v>
      </c>
      <c r="H13" s="21" t="s">
        <v>25</v>
      </c>
      <c r="J13" s="4">
        <v>2</v>
      </c>
      <c r="K13" s="24" t="s">
        <v>30</v>
      </c>
      <c r="M13" s="4">
        <v>2</v>
      </c>
      <c r="N13" s="24" t="s">
        <v>30</v>
      </c>
      <c r="P13" s="4">
        <v>2</v>
      </c>
      <c r="Q13" s="24" t="s">
        <v>30</v>
      </c>
      <c r="S13" s="4">
        <v>2</v>
      </c>
      <c r="T13" s="22" t="s">
        <v>75</v>
      </c>
      <c r="V13" s="4">
        <v>2</v>
      </c>
      <c r="W13" s="22" t="s">
        <v>75</v>
      </c>
      <c r="Y13" s="4">
        <v>2</v>
      </c>
      <c r="Z13" s="22" t="s">
        <v>75</v>
      </c>
      <c r="AB13" s="4">
        <v>2</v>
      </c>
      <c r="AC13" s="22" t="s">
        <v>75</v>
      </c>
      <c r="AE13" s="4">
        <v>2</v>
      </c>
      <c r="AF13" s="22" t="s">
        <v>75</v>
      </c>
      <c r="AH13" s="4">
        <v>2</v>
      </c>
      <c r="AI13" s="22" t="s">
        <v>75</v>
      </c>
      <c r="AK13" s="4">
        <v>2</v>
      </c>
      <c r="AL13" s="22" t="s">
        <v>75</v>
      </c>
      <c r="AN13" s="4">
        <v>2</v>
      </c>
      <c r="AO13" s="24" t="s">
        <v>30</v>
      </c>
      <c r="AQ13" s="4">
        <v>2</v>
      </c>
      <c r="AR13" s="24" t="s">
        <v>30</v>
      </c>
      <c r="AT13" s="4">
        <v>2</v>
      </c>
      <c r="AU13" s="20" t="s">
        <v>27</v>
      </c>
      <c r="AW13" s="4">
        <v>2</v>
      </c>
      <c r="AX13" s="24" t="s">
        <v>30</v>
      </c>
      <c r="AZ13" s="4">
        <v>2</v>
      </c>
      <c r="BA13" s="20" t="s">
        <v>27</v>
      </c>
      <c r="BC13" s="4">
        <v>2</v>
      </c>
      <c r="BD13" s="22" t="s">
        <v>75</v>
      </c>
      <c r="BF13" s="4">
        <v>2</v>
      </c>
      <c r="BG13" s="22" t="s">
        <v>75</v>
      </c>
    </row>
    <row r="14" spans="1:59" x14ac:dyDescent="0.35">
      <c r="A14" s="4">
        <v>1</v>
      </c>
      <c r="B14" s="21" t="s">
        <v>25</v>
      </c>
      <c r="C14" s="2"/>
      <c r="D14" s="4">
        <v>1</v>
      </c>
      <c r="E14" s="21" t="s">
        <v>25</v>
      </c>
      <c r="G14" s="4">
        <v>1</v>
      </c>
      <c r="H14" s="21" t="s">
        <v>25</v>
      </c>
      <c r="J14" s="4">
        <v>1</v>
      </c>
      <c r="K14" s="22" t="s">
        <v>75</v>
      </c>
      <c r="M14" s="4">
        <v>1</v>
      </c>
      <c r="N14" s="22" t="s">
        <v>75</v>
      </c>
      <c r="P14" s="4">
        <v>1</v>
      </c>
      <c r="Q14" s="22" t="s">
        <v>75</v>
      </c>
      <c r="S14" s="4">
        <v>1</v>
      </c>
      <c r="T14" s="21" t="s">
        <v>25</v>
      </c>
      <c r="V14" s="4">
        <v>1</v>
      </c>
      <c r="W14" s="21" t="s">
        <v>25</v>
      </c>
      <c r="Y14" s="4">
        <v>1</v>
      </c>
      <c r="Z14" s="22" t="s">
        <v>75</v>
      </c>
      <c r="AB14" s="4">
        <v>1</v>
      </c>
      <c r="AC14" s="22" t="s">
        <v>75</v>
      </c>
      <c r="AE14" s="4">
        <v>1</v>
      </c>
      <c r="AF14" s="22" t="s">
        <v>75</v>
      </c>
      <c r="AH14" s="4">
        <v>1</v>
      </c>
      <c r="AI14" s="22" t="s">
        <v>75</v>
      </c>
      <c r="AK14" s="4">
        <v>1</v>
      </c>
      <c r="AL14" s="22" t="s">
        <v>75</v>
      </c>
      <c r="AN14" s="4">
        <v>1</v>
      </c>
      <c r="AO14" s="22" t="s">
        <v>75</v>
      </c>
      <c r="AQ14" s="4">
        <v>1</v>
      </c>
      <c r="AR14" s="22" t="s">
        <v>75</v>
      </c>
      <c r="AT14" s="4">
        <v>1</v>
      </c>
      <c r="AU14" s="20" t="s">
        <v>27</v>
      </c>
      <c r="AW14" s="4">
        <v>1</v>
      </c>
      <c r="AX14" s="22" t="s">
        <v>75</v>
      </c>
      <c r="AZ14" s="4">
        <v>1</v>
      </c>
      <c r="BA14" s="20" t="s">
        <v>27</v>
      </c>
      <c r="BC14" s="4">
        <v>1</v>
      </c>
      <c r="BD14" s="21" t="s">
        <v>25</v>
      </c>
      <c r="BF14" s="4">
        <v>1</v>
      </c>
      <c r="BG14" s="21" t="s">
        <v>25</v>
      </c>
    </row>
    <row r="15" spans="1:59" x14ac:dyDescent="0.35">
      <c r="A15" s="4">
        <v>0</v>
      </c>
      <c r="B15" s="21" t="s">
        <v>25</v>
      </c>
      <c r="C15" s="2"/>
      <c r="D15" s="4">
        <v>0</v>
      </c>
      <c r="E15" s="21" t="s">
        <v>25</v>
      </c>
      <c r="G15" s="4">
        <v>0</v>
      </c>
      <c r="H15" s="21" t="s">
        <v>25</v>
      </c>
      <c r="J15" s="4">
        <v>0</v>
      </c>
      <c r="K15" s="21" t="s">
        <v>25</v>
      </c>
      <c r="M15" s="4">
        <v>0</v>
      </c>
      <c r="N15" s="21" t="s">
        <v>25</v>
      </c>
      <c r="P15" s="4">
        <v>0</v>
      </c>
      <c r="Q15" s="21" t="s">
        <v>25</v>
      </c>
      <c r="S15" s="4">
        <v>0</v>
      </c>
      <c r="T15" s="21" t="s">
        <v>25</v>
      </c>
      <c r="V15" s="4">
        <v>0</v>
      </c>
      <c r="W15" s="21" t="s">
        <v>25</v>
      </c>
      <c r="Y15" s="4">
        <v>0</v>
      </c>
      <c r="Z15" s="21" t="s">
        <v>25</v>
      </c>
      <c r="AB15" s="4">
        <v>0</v>
      </c>
      <c r="AC15" s="21" t="s">
        <v>25</v>
      </c>
      <c r="AE15" s="4">
        <v>0</v>
      </c>
      <c r="AF15" s="21" t="s">
        <v>25</v>
      </c>
      <c r="AH15" s="4">
        <v>0</v>
      </c>
      <c r="AI15" s="21" t="s">
        <v>25</v>
      </c>
      <c r="AK15" s="4">
        <v>0</v>
      </c>
      <c r="AL15" s="21" t="s">
        <v>25</v>
      </c>
      <c r="AN15" s="4">
        <v>0</v>
      </c>
      <c r="AO15" s="21" t="s">
        <v>25</v>
      </c>
      <c r="AQ15" s="4">
        <v>0</v>
      </c>
      <c r="AR15" s="21" t="s">
        <v>25</v>
      </c>
      <c r="AT15" s="4">
        <v>0</v>
      </c>
      <c r="AU15" s="20" t="s">
        <v>27</v>
      </c>
      <c r="AW15" s="4">
        <v>0</v>
      </c>
      <c r="AX15" s="21" t="s">
        <v>25</v>
      </c>
      <c r="AZ15" s="4">
        <v>0</v>
      </c>
      <c r="BA15" s="20" t="s">
        <v>27</v>
      </c>
      <c r="BC15" s="4">
        <v>0</v>
      </c>
      <c r="BD15" s="21" t="s">
        <v>25</v>
      </c>
      <c r="BF15" s="4">
        <v>0</v>
      </c>
      <c r="BG15" s="21" t="s">
        <v>25</v>
      </c>
    </row>
  </sheetData>
  <mergeCells count="41">
    <mergeCell ref="A1:BG1"/>
    <mergeCell ref="A2:B2"/>
    <mergeCell ref="D2:E2"/>
    <mergeCell ref="G2:H2"/>
    <mergeCell ref="J2:K2"/>
    <mergeCell ref="M2:N2"/>
    <mergeCell ref="P2:Q2"/>
    <mergeCell ref="S2:T2"/>
    <mergeCell ref="V2:W2"/>
    <mergeCell ref="Y2:Z2"/>
    <mergeCell ref="AB2:AC2"/>
    <mergeCell ref="AE2:AF2"/>
    <mergeCell ref="AH2:AI2"/>
    <mergeCell ref="AK2:AL2"/>
    <mergeCell ref="AN2:AO2"/>
    <mergeCell ref="AQ2:AR2"/>
    <mergeCell ref="AT2:AU2"/>
    <mergeCell ref="AW2:AX2"/>
    <mergeCell ref="AZ2:BA2"/>
    <mergeCell ref="BC2:BD2"/>
    <mergeCell ref="BF2:BG2"/>
    <mergeCell ref="A3:B3"/>
    <mergeCell ref="D3:E3"/>
    <mergeCell ref="G3:H3"/>
    <mergeCell ref="J3:K3"/>
    <mergeCell ref="M3:N3"/>
    <mergeCell ref="P3:Q3"/>
    <mergeCell ref="S3:T3"/>
    <mergeCell ref="V3:W3"/>
    <mergeCell ref="Y3:Z3"/>
    <mergeCell ref="AB3:AC3"/>
    <mergeCell ref="AE3:AF3"/>
    <mergeCell ref="AH3:AI3"/>
    <mergeCell ref="AK3:AL3"/>
    <mergeCell ref="AN3:AO3"/>
    <mergeCell ref="AQ3:AR3"/>
    <mergeCell ref="AT3:AU3"/>
    <mergeCell ref="AW3:AX3"/>
    <mergeCell ref="AZ3:BA3"/>
    <mergeCell ref="BC3:BD3"/>
    <mergeCell ref="BF3:BG3"/>
  </mergeCells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E274F-1CBF-4528-B5A2-3C23095F900A}">
  <sheetPr codeName="Sheet8"/>
  <dimension ref="A1:AB130"/>
  <sheetViews>
    <sheetView zoomScale="85" zoomScaleNormal="85" workbookViewId="0">
      <selection activeCell="M8" sqref="M8"/>
    </sheetView>
  </sheetViews>
  <sheetFormatPr defaultRowHeight="14.5" x14ac:dyDescent="0.35"/>
  <sheetData>
    <row r="1" spans="1:28" x14ac:dyDescent="0.35">
      <c r="A1" s="11" t="s">
        <v>1</v>
      </c>
      <c r="B1" s="11" t="s">
        <v>2</v>
      </c>
      <c r="C1" s="11" t="s">
        <v>3</v>
      </c>
      <c r="D1" s="11" t="s">
        <v>73</v>
      </c>
      <c r="E1" s="12"/>
      <c r="F1" s="12" t="s">
        <v>5</v>
      </c>
      <c r="G1" s="12" t="s">
        <v>4</v>
      </c>
      <c r="H1" s="12" t="s">
        <v>73</v>
      </c>
      <c r="I1" s="12"/>
      <c r="J1" s="12" t="s">
        <v>2</v>
      </c>
      <c r="K1" s="12" t="s">
        <v>8</v>
      </c>
      <c r="L1" s="12" t="s">
        <v>73</v>
      </c>
      <c r="O1" s="12"/>
      <c r="P1" s="12"/>
      <c r="Q1" s="12"/>
    </row>
    <row r="2" spans="1:28" x14ac:dyDescent="0.35">
      <c r="A2" s="11" t="str">
        <f>IFERROR(IF('NORMA IST'!$C3="True",VLOOKUP(IST!$B2,'NORMA IST'!F6:G27,2,FALSE),
IF('NORMA IST'!$C31="True",VLOOKUP(IST!$B2,'NORMA IST'!F34:G55,2,FALSE),
IF('NORMA IST'!$C59="True",VLOOKUP(IST!$B2,'NORMA IST'!F62:G83,2,FALSE),
IF('NORMA IST'!$C87 = "True",VLOOKUP(IST!$B2,'NORMA IST'!F90:G111,2,FALSE),
IF('NORMA IST'!$C115 = "True",VLOOKUP(IST!$B2,'NORMA IST'!F118:G139,2,FALSE),
IF('NORMA IST'!$C143 = "True",VLOOKUP(IST!$B2,'NORMA IST'!F146:G167,2,FALSE),"K"
)))))),"K")</f>
        <v>K</v>
      </c>
      <c r="B2" s="11" t="str">
        <f>IFERROR(IF('NORMA IST'!$C3="True",VLOOKUP(IST!C2,'NORMA IST'!J6:K27,2,FALSE),
IF('NORMA IST'!$C31="True",VLOOKUP(IST!$C2,'NORMA IST'!J34:K55,2,FALSE),
IF('NORMA IST'!$C59="True",VLOOKUP(IST!$C2,'NORMA IST'!J62:K83,2,FALSE),
IF('NORMA IST'!$C87 = "True",VLOOKUP(IST!$C2,'NORMA IST'!J90:K111,2,FALSE),
IF('NORMA IST'!$C115 = "True",VLOOKUP(IST!$C2,'NORMA IST'!J118:K139,2,FALSE),
IF('NORMA IST'!$C143 = "True",VLOOKUP(IST!$C2,'NORMA IST'!J146:K167,2,FALSE),"K"
)))))),"K")</f>
        <v>K</v>
      </c>
      <c r="C2" s="11" t="str">
        <f>IFERROR(IF('NORMA IST'!$C3="True",VLOOKUP(IST!D2,'NORMA IST'!N6:O27,2,FALSE),
IF('NORMA IST'!$C31="True",VLOOKUP(IST!D2,'NORMA IST'!N34:O55,2,FALSE),
IF('NORMA IST'!$C59="True",VLOOKUP(IST!D2,'NORMA IST'!N62:O83,2,FALSE),
IF('NORMA IST'!$C87 = "True",VLOOKUP(IST!D2,'NORMA IST'!N90:O111,2,FALSE),
IF('NORMA IST'!$C115 = "True",VLOOKUP(IST!D2,'NORMA IST'!N118:O139,2,FALSE),
IF('NORMA IST'!$C143 = "True",VLOOKUP(IST!D2,'NORMA IST'!N146:O167,2,FALSE),"K"
)))))),"K")</f>
        <v>K</v>
      </c>
      <c r="D2" s="11" t="str">
        <f t="array" ref="D2">INDEX(D6:D130,MATCH(1,(A2
=A6:A130)*(B2=B6:B130)*(C2=C6:C130),0))</f>
        <v>K</v>
      </c>
      <c r="E2" s="12"/>
      <c r="F2" s="11" t="str">
        <f>IFERROR(IF('NORMA IST'!$C3="True",VLOOKUP(IST!F2,'NORMA IST'!V6:W27,2,FALSE),
IF('NORMA IST'!$C31="True",VLOOKUP(IST!F2,'NORMA IST'!V34:W55,2,FALSE),
IF('NORMA IST'!$C59="True",VLOOKUP(IST!F2,'NORMA IST'!V62:W83,2,FALSE),
IF('NORMA IST'!$C87 = "True",VLOOKUP(IST!F2,'NORMA IST'!V90:W111,2,FALSE),
IF('NORMA IST'!$C115 = "True",VLOOKUP(IST!F2,'NORMA IST'!V118:W139,2,FALSE),
IF('NORMA IST'!$C143 = "True",VLOOKUP(IST!F2,'NORMA IST'!V146:W167,2,FALSE),"K"
)))))),"K")</f>
        <v>K</v>
      </c>
      <c r="G2" s="11" t="str">
        <f>IFERROR(IF('NORMA IST'!$C3="True",VLOOKUP(IST!E2,'NORMA IST'!R6:S27,2,FALSE),
IF('NORMA IST'!$C31="True",VLOOKUP(IST!E2,'NORMA IST'!R34:S55,2,FALSE),
IF('NORMA IST'!$C59="True",VLOOKUP(IST!E2,'NORMA IST'!R62:S83,2,FALSE),
IF('NORMA IST'!$C87 = "True",VLOOKUP(IST!E2,'NORMA IST'!R90:S111,2,FALSE),
IF('NORMA IST'!$C115 = "True",VLOOKUP(IST!E2,'NORMA IST'!R118:S139,2,FALSE),
IF('NORMA IST'!$C143 = "True",VLOOKUP(IST!E2,'NORMA IST'!R146:S167,2,FALSE),"K"
)))))),"K")</f>
        <v>K</v>
      </c>
      <c r="H2" s="12" t="str">
        <f t="array" ref="H2">INDEX(H6:H30,MATCH(1,(F2
=F6:F30)*(G2=G6:G30),0))</f>
        <v>K</v>
      </c>
      <c r="I2" s="12"/>
      <c r="J2" s="11" t="str">
        <f>IFERROR(IF('NORMA IST'!$C3="True",VLOOKUP(IST!C2,'NORMA IST'!J6:K27,2,FALSE),
IF('NORMA IST'!$C31="True",VLOOKUP(IST!C2,'NORMA IST'!J34:K55,2,FALSE),
IF('NORMA IST'!$C59="True",VLOOKUP(IST!C2,'NORMA IST'!J62:K83,2,FALSE),
IF('NORMA IST'!$C87 = "True",VLOOKUP(IST!C2,'NORMA IST'!J90:K111,2,FALSE),
IF('NORMA IST'!$C115 = "True",VLOOKUP(IST!C2,'NORMA IST'!J118:K139,2,FALSE),
IF('NORMA IST'!$C143 = "True",VLOOKUP(IST!C2,'NORMA IST'!J146:K167,2,FALSE),"K"
)))))),"K")</f>
        <v>K</v>
      </c>
      <c r="K2" s="11" t="str">
        <f>IFERROR(IF('NORMA IST'!$C3="True",VLOOKUP(IST!I2,'NORMA IST'!AH6:AI27,2,FALSE),
IF('NORMA IST'!$C31="True",VLOOKUP(IST!I2,'NORMA IST'!AH34:AI55,2,FALSE),
IF('NORMA IST'!$C59="True",VLOOKUP(IST!I2,'NORMA IST'!AH62:AI83,2,FALSE),
IF('NORMA IST'!$C87="True",VLOOKUP(IST!I2,'NORMA IST'!AH90:AI111,2,FALSE),
IF('NORMA IST'!$C115="True",VLOOKUP(IST!I2,'NORMA IST'!AH118:AI139,2,FALSE),
IF('NORMA IST'!$C143="True",VLOOKUP(IST!I2,'NORMA IST'!AH146:AI167,2,FALSE),"K"
)))))),"K")</f>
        <v>K</v>
      </c>
      <c r="L2" s="12" t="str">
        <f t="array" ref="L2">INDEX(L6:L30,MATCH(1,(J2
=J6:J30)*(K2=K6:K30),0))</f>
        <v>K</v>
      </c>
    </row>
    <row r="3" spans="1:28" ht="19" customHeight="1" x14ac:dyDescent="0.35">
      <c r="A3" s="342" t="s">
        <v>77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O3" s="342" t="s">
        <v>78</v>
      </c>
      <c r="P3" s="342"/>
      <c r="Q3" s="342"/>
      <c r="R3" s="342"/>
      <c r="S3" s="342"/>
      <c r="T3" s="342"/>
      <c r="U3" s="342"/>
      <c r="V3" s="342"/>
      <c r="W3" s="342"/>
      <c r="X3" s="342"/>
      <c r="Y3" s="342"/>
      <c r="AA3" s="25" t="s">
        <v>79</v>
      </c>
      <c r="AB3" s="25" t="s">
        <v>80</v>
      </c>
    </row>
    <row r="4" spans="1:28" ht="15" customHeight="1" x14ac:dyDescent="0.35">
      <c r="A4" s="343" t="s">
        <v>81</v>
      </c>
      <c r="B4" s="343"/>
      <c r="C4" s="343"/>
      <c r="D4" s="343"/>
      <c r="E4" s="12"/>
      <c r="F4" s="343" t="s">
        <v>82</v>
      </c>
      <c r="G4" s="343"/>
      <c r="H4" s="343"/>
      <c r="I4" s="12"/>
      <c r="J4" s="344" t="s">
        <v>83</v>
      </c>
      <c r="K4" s="344"/>
      <c r="L4" s="344"/>
      <c r="O4" s="341" t="s">
        <v>84</v>
      </c>
      <c r="P4" s="341"/>
      <c r="Q4" s="341"/>
      <c r="R4" s="341"/>
      <c r="S4" s="341"/>
      <c r="U4" s="341" t="s">
        <v>85</v>
      </c>
      <c r="V4" s="341"/>
      <c r="W4" s="341"/>
      <c r="X4" s="341"/>
      <c r="Y4" s="341"/>
      <c r="AA4" s="14" t="s">
        <v>25</v>
      </c>
      <c r="AB4" s="14">
        <v>0</v>
      </c>
    </row>
    <row r="5" spans="1:28" x14ac:dyDescent="0.35">
      <c r="A5" s="25" t="s">
        <v>1</v>
      </c>
      <c r="B5" s="25" t="s">
        <v>2</v>
      </c>
      <c r="C5" s="25" t="s">
        <v>3</v>
      </c>
      <c r="D5" s="25" t="s">
        <v>86</v>
      </c>
      <c r="E5" s="12"/>
      <c r="F5" s="25" t="s">
        <v>5</v>
      </c>
      <c r="G5" s="25" t="s">
        <v>4</v>
      </c>
      <c r="H5" s="25" t="s">
        <v>86</v>
      </c>
      <c r="I5" s="12"/>
      <c r="J5" s="26" t="s">
        <v>2</v>
      </c>
      <c r="K5" s="26" t="s">
        <v>8</v>
      </c>
      <c r="L5" s="26" t="s">
        <v>86</v>
      </c>
      <c r="O5" s="25" t="s">
        <v>79</v>
      </c>
      <c r="P5" s="25" t="s">
        <v>80</v>
      </c>
      <c r="U5" s="25" t="s">
        <v>79</v>
      </c>
      <c r="V5" s="25" t="s">
        <v>80</v>
      </c>
      <c r="AA5" s="14" t="s">
        <v>75</v>
      </c>
      <c r="AB5" s="14">
        <v>1</v>
      </c>
    </row>
    <row r="6" spans="1:28" x14ac:dyDescent="0.35">
      <c r="A6" s="13" t="s">
        <v>25</v>
      </c>
      <c r="B6" s="13" t="s">
        <v>25</v>
      </c>
      <c r="C6" s="13" t="s">
        <v>25</v>
      </c>
      <c r="D6" s="27" t="s">
        <v>25</v>
      </c>
      <c r="E6" s="12"/>
      <c r="F6" s="13" t="s">
        <v>25</v>
      </c>
      <c r="G6" s="13" t="s">
        <v>25</v>
      </c>
      <c r="H6" s="28" t="s">
        <v>25</v>
      </c>
      <c r="I6" s="12"/>
      <c r="J6" s="13" t="s">
        <v>25</v>
      </c>
      <c r="K6" s="13" t="s">
        <v>25</v>
      </c>
      <c r="L6" s="28" t="s">
        <v>25</v>
      </c>
      <c r="O6" s="14">
        <v>99</v>
      </c>
      <c r="P6" s="14" t="s">
        <v>27</v>
      </c>
      <c r="U6" s="14">
        <v>99</v>
      </c>
      <c r="V6" s="14" t="s">
        <v>27</v>
      </c>
      <c r="AA6" s="14" t="s">
        <v>30</v>
      </c>
      <c r="AB6" s="14">
        <v>2</v>
      </c>
    </row>
    <row r="7" spans="1:28" x14ac:dyDescent="0.35">
      <c r="A7" s="13" t="s">
        <v>25</v>
      </c>
      <c r="B7" s="13" t="s">
        <v>25</v>
      </c>
      <c r="C7" s="13" t="s">
        <v>75</v>
      </c>
      <c r="D7" s="27" t="s">
        <v>25</v>
      </c>
      <c r="E7" s="12"/>
      <c r="F7" s="13" t="s">
        <v>25</v>
      </c>
      <c r="G7" s="13" t="s">
        <v>75</v>
      </c>
      <c r="H7" s="28" t="s">
        <v>75</v>
      </c>
      <c r="I7" s="12"/>
      <c r="J7" s="13" t="s">
        <v>25</v>
      </c>
      <c r="K7" s="13" t="s">
        <v>75</v>
      </c>
      <c r="L7" s="28" t="s">
        <v>75</v>
      </c>
      <c r="O7" s="14">
        <v>4</v>
      </c>
      <c r="P7" s="14" t="s">
        <v>27</v>
      </c>
      <c r="U7" s="14">
        <v>4</v>
      </c>
      <c r="V7" s="14" t="s">
        <v>27</v>
      </c>
      <c r="AA7" s="14" t="s">
        <v>76</v>
      </c>
      <c r="AB7" s="14">
        <v>3</v>
      </c>
    </row>
    <row r="8" spans="1:28" x14ac:dyDescent="0.35">
      <c r="A8" s="13" t="s">
        <v>25</v>
      </c>
      <c r="B8" s="13" t="s">
        <v>25</v>
      </c>
      <c r="C8" s="13" t="s">
        <v>30</v>
      </c>
      <c r="D8" s="27" t="s">
        <v>25</v>
      </c>
      <c r="E8" s="12"/>
      <c r="F8" s="13" t="s">
        <v>25</v>
      </c>
      <c r="G8" s="13" t="s">
        <v>30</v>
      </c>
      <c r="H8" s="28" t="s">
        <v>75</v>
      </c>
      <c r="I8" s="12"/>
      <c r="J8" s="13" t="s">
        <v>25</v>
      </c>
      <c r="K8" s="13" t="s">
        <v>30</v>
      </c>
      <c r="L8" s="28" t="s">
        <v>75</v>
      </c>
      <c r="O8" s="14">
        <v>3.9998999999999998</v>
      </c>
      <c r="P8" s="14" t="s">
        <v>76</v>
      </c>
      <c r="U8" s="14">
        <v>3.9998999999999998</v>
      </c>
      <c r="V8" s="14" t="s">
        <v>76</v>
      </c>
      <c r="AA8" s="14" t="s">
        <v>27</v>
      </c>
      <c r="AB8" s="14">
        <v>4</v>
      </c>
    </row>
    <row r="9" spans="1:28" x14ac:dyDescent="0.35">
      <c r="A9" s="13" t="s">
        <v>25</v>
      </c>
      <c r="B9" s="13" t="s">
        <v>25</v>
      </c>
      <c r="C9" s="13" t="s">
        <v>76</v>
      </c>
      <c r="D9" s="27" t="s">
        <v>25</v>
      </c>
      <c r="E9" s="12"/>
      <c r="F9" s="13" t="s">
        <v>25</v>
      </c>
      <c r="G9" s="13" t="s">
        <v>76</v>
      </c>
      <c r="H9" s="28" t="s">
        <v>30</v>
      </c>
      <c r="I9" s="12"/>
      <c r="J9" s="13" t="s">
        <v>25</v>
      </c>
      <c r="K9" s="13" t="s">
        <v>76</v>
      </c>
      <c r="L9" s="28" t="s">
        <v>30</v>
      </c>
      <c r="O9" s="14">
        <v>2.9998999999999998</v>
      </c>
      <c r="P9" s="14" t="s">
        <v>30</v>
      </c>
      <c r="U9" s="14">
        <v>2.9998999999999998</v>
      </c>
      <c r="V9" s="14" t="s">
        <v>30</v>
      </c>
      <c r="AA9" s="12"/>
      <c r="AB9" s="12"/>
    </row>
    <row r="10" spans="1:28" x14ac:dyDescent="0.35">
      <c r="A10" s="13" t="s">
        <v>25</v>
      </c>
      <c r="B10" s="13" t="s">
        <v>25</v>
      </c>
      <c r="C10" s="13" t="s">
        <v>27</v>
      </c>
      <c r="D10" s="27" t="s">
        <v>25</v>
      </c>
      <c r="E10" s="12"/>
      <c r="F10" s="13" t="s">
        <v>25</v>
      </c>
      <c r="G10" s="13" t="s">
        <v>27</v>
      </c>
      <c r="H10" s="28" t="s">
        <v>30</v>
      </c>
      <c r="I10" s="12"/>
      <c r="J10" s="13" t="s">
        <v>25</v>
      </c>
      <c r="K10" s="13" t="s">
        <v>27</v>
      </c>
      <c r="L10" s="28" t="s">
        <v>30</v>
      </c>
      <c r="O10" s="14">
        <v>1.9999</v>
      </c>
      <c r="P10" s="14" t="s">
        <v>75</v>
      </c>
      <c r="U10" s="14">
        <v>1.9999</v>
      </c>
      <c r="V10" s="14" t="s">
        <v>75</v>
      </c>
    </row>
    <row r="11" spans="1:28" x14ac:dyDescent="0.35">
      <c r="A11" s="13" t="s">
        <v>25</v>
      </c>
      <c r="B11" s="13" t="s">
        <v>75</v>
      </c>
      <c r="C11" s="13" t="s">
        <v>25</v>
      </c>
      <c r="D11" s="27" t="s">
        <v>25</v>
      </c>
      <c r="E11" s="12"/>
      <c r="F11" s="13" t="s">
        <v>75</v>
      </c>
      <c r="G11" s="13" t="s">
        <v>25</v>
      </c>
      <c r="H11" s="28" t="s">
        <v>75</v>
      </c>
      <c r="I11" s="12"/>
      <c r="J11" s="13" t="s">
        <v>75</v>
      </c>
      <c r="K11" s="13" t="s">
        <v>25</v>
      </c>
      <c r="L11" s="28" t="s">
        <v>75</v>
      </c>
      <c r="O11" s="14">
        <v>0.99990000000000001</v>
      </c>
      <c r="P11" s="14" t="s">
        <v>25</v>
      </c>
      <c r="U11" s="14">
        <v>0.99990000000000001</v>
      </c>
      <c r="V11" s="14" t="s">
        <v>25</v>
      </c>
    </row>
    <row r="12" spans="1:28" x14ac:dyDescent="0.35">
      <c r="A12" s="13" t="s">
        <v>25</v>
      </c>
      <c r="B12" s="13" t="s">
        <v>75</v>
      </c>
      <c r="C12" s="13" t="s">
        <v>75</v>
      </c>
      <c r="D12" s="27" t="s">
        <v>75</v>
      </c>
      <c r="E12" s="12"/>
      <c r="F12" s="13" t="s">
        <v>75</v>
      </c>
      <c r="G12" s="13" t="s">
        <v>75</v>
      </c>
      <c r="H12" s="28" t="s">
        <v>75</v>
      </c>
      <c r="I12" s="12"/>
      <c r="J12" s="13" t="s">
        <v>75</v>
      </c>
      <c r="K12" s="13" t="s">
        <v>75</v>
      </c>
      <c r="L12" s="28" t="s">
        <v>75</v>
      </c>
      <c r="O12" s="25" t="s">
        <v>14</v>
      </c>
      <c r="P12" s="25" t="s">
        <v>15</v>
      </c>
      <c r="Q12" s="25" t="s">
        <v>16</v>
      </c>
      <c r="R12" s="25" t="s">
        <v>79</v>
      </c>
      <c r="S12" s="25" t="s">
        <v>80</v>
      </c>
      <c r="U12" s="25" t="s">
        <v>20</v>
      </c>
      <c r="V12" s="25" t="s">
        <v>26</v>
      </c>
      <c r="W12" s="25" t="s">
        <v>79</v>
      </c>
      <c r="X12" s="25" t="s">
        <v>80</v>
      </c>
    </row>
    <row r="13" spans="1:28" x14ac:dyDescent="0.35">
      <c r="A13" s="13" t="s">
        <v>25</v>
      </c>
      <c r="B13" s="13" t="s">
        <v>75</v>
      </c>
      <c r="C13" s="13" t="s">
        <v>30</v>
      </c>
      <c r="D13" s="27" t="s">
        <v>75</v>
      </c>
      <c r="E13" s="12"/>
      <c r="F13" s="13" t="s">
        <v>75</v>
      </c>
      <c r="G13" s="13" t="s">
        <v>30</v>
      </c>
      <c r="H13" s="28" t="s">
        <v>75</v>
      </c>
      <c r="I13" s="12"/>
      <c r="J13" s="13" t="s">
        <v>75</v>
      </c>
      <c r="K13" s="13" t="s">
        <v>30</v>
      </c>
      <c r="L13" s="28" t="s">
        <v>75</v>
      </c>
      <c r="O13" s="13" t="str">
        <f>'NORMA PAPI'!A2</f>
        <v>K</v>
      </c>
      <c r="P13" s="13" t="str">
        <f>'NORMA PAPI'!D2</f>
        <v>K</v>
      </c>
      <c r="Q13" s="13" t="str">
        <f>'NORMA PAPI'!G2</f>
        <v>K</v>
      </c>
      <c r="R13" s="13">
        <f>SUM(VLOOKUP(O13,AA4:AB8,2,FALSE),VLOOKUP(P13,AA4:AB8,2,FALSE),VLOOKUP(Q13,AA4:AB8,2,FALSE))/3</f>
        <v>0</v>
      </c>
      <c r="S13" s="13" t="str">
        <f>INDEX(P6:P11,MATCH(R13,O6:O11,-1))</f>
        <v>K</v>
      </c>
      <c r="U13" s="13" t="str">
        <f>'NORMA PAPI'!S2</f>
        <v>K</v>
      </c>
      <c r="V13" s="13" t="str">
        <f>'NORMA PAPI'!V2</f>
        <v>K</v>
      </c>
      <c r="W13" s="13">
        <f>SUM(VLOOKUP(U13,AA4:AB8,2,FALSE),VLOOKUP(V13,AA4:AB8,2,FALSE))/2</f>
        <v>0</v>
      </c>
      <c r="X13" s="13" t="str">
        <f>INDEX(V6:V11,MATCH(W13,U6:U11,-1))</f>
        <v>K</v>
      </c>
    </row>
    <row r="14" spans="1:28" x14ac:dyDescent="0.35">
      <c r="A14" s="13" t="s">
        <v>25</v>
      </c>
      <c r="B14" s="13" t="s">
        <v>75</v>
      </c>
      <c r="C14" s="13" t="s">
        <v>76</v>
      </c>
      <c r="D14" s="27" t="s">
        <v>30</v>
      </c>
      <c r="E14" s="12"/>
      <c r="F14" s="13" t="s">
        <v>75</v>
      </c>
      <c r="G14" s="13" t="s">
        <v>76</v>
      </c>
      <c r="H14" s="28" t="s">
        <v>30</v>
      </c>
      <c r="I14" s="12"/>
      <c r="J14" s="13" t="s">
        <v>75</v>
      </c>
      <c r="K14" s="13" t="s">
        <v>76</v>
      </c>
      <c r="L14" s="28" t="s">
        <v>30</v>
      </c>
    </row>
    <row r="15" spans="1:28" x14ac:dyDescent="0.35">
      <c r="A15" s="13" t="s">
        <v>25</v>
      </c>
      <c r="B15" s="13" t="s">
        <v>75</v>
      </c>
      <c r="C15" s="13" t="s">
        <v>27</v>
      </c>
      <c r="D15" s="27" t="s">
        <v>30</v>
      </c>
      <c r="E15" s="12"/>
      <c r="F15" s="13" t="s">
        <v>75</v>
      </c>
      <c r="G15" s="13" t="s">
        <v>27</v>
      </c>
      <c r="H15" s="28" t="s">
        <v>30</v>
      </c>
      <c r="I15" s="12"/>
      <c r="J15" s="13" t="s">
        <v>75</v>
      </c>
      <c r="K15" s="13" t="s">
        <v>27</v>
      </c>
      <c r="L15" s="28" t="s">
        <v>30</v>
      </c>
    </row>
    <row r="16" spans="1:28" x14ac:dyDescent="0.35">
      <c r="A16" s="13" t="s">
        <v>25</v>
      </c>
      <c r="B16" s="13" t="s">
        <v>30</v>
      </c>
      <c r="C16" s="13" t="s">
        <v>25</v>
      </c>
      <c r="D16" s="27" t="s">
        <v>25</v>
      </c>
      <c r="E16" s="12"/>
      <c r="F16" s="13" t="s">
        <v>30</v>
      </c>
      <c r="G16" s="13" t="s">
        <v>25</v>
      </c>
      <c r="H16" s="28" t="s">
        <v>75</v>
      </c>
      <c r="I16" s="12"/>
      <c r="J16" s="13" t="s">
        <v>30</v>
      </c>
      <c r="K16" s="13" t="s">
        <v>25</v>
      </c>
      <c r="L16" s="28" t="s">
        <v>75</v>
      </c>
      <c r="O16" s="341" t="s">
        <v>87</v>
      </c>
      <c r="P16" s="341"/>
      <c r="Q16" s="341"/>
      <c r="R16" s="341"/>
      <c r="S16" s="341"/>
      <c r="U16" s="341" t="s">
        <v>88</v>
      </c>
      <c r="V16" s="341"/>
      <c r="W16" s="341"/>
      <c r="X16" s="341"/>
      <c r="Y16" s="341"/>
    </row>
    <row r="17" spans="1:26" x14ac:dyDescent="0.35">
      <c r="A17" s="13" t="s">
        <v>25</v>
      </c>
      <c r="B17" s="13" t="s">
        <v>30</v>
      </c>
      <c r="C17" s="13" t="s">
        <v>75</v>
      </c>
      <c r="D17" s="27" t="s">
        <v>75</v>
      </c>
      <c r="E17" s="12"/>
      <c r="F17" s="13" t="s">
        <v>30</v>
      </c>
      <c r="G17" s="13" t="s">
        <v>75</v>
      </c>
      <c r="H17" s="28" t="s">
        <v>75</v>
      </c>
      <c r="I17" s="12"/>
      <c r="J17" s="13" t="s">
        <v>30</v>
      </c>
      <c r="K17" s="13" t="s">
        <v>75</v>
      </c>
      <c r="L17" s="28" t="s">
        <v>75</v>
      </c>
      <c r="O17" s="25" t="s">
        <v>79</v>
      </c>
      <c r="P17" s="25" t="s">
        <v>80</v>
      </c>
      <c r="U17" s="25" t="s">
        <v>79</v>
      </c>
      <c r="V17" s="25" t="s">
        <v>80</v>
      </c>
    </row>
    <row r="18" spans="1:26" x14ac:dyDescent="0.35">
      <c r="A18" s="13" t="s">
        <v>25</v>
      </c>
      <c r="B18" s="13" t="s">
        <v>30</v>
      </c>
      <c r="C18" s="13" t="s">
        <v>30</v>
      </c>
      <c r="D18" s="27" t="s">
        <v>30</v>
      </c>
      <c r="E18" s="12"/>
      <c r="F18" s="13" t="s">
        <v>30</v>
      </c>
      <c r="G18" s="13" t="s">
        <v>30</v>
      </c>
      <c r="H18" s="28" t="s">
        <v>30</v>
      </c>
      <c r="I18" s="12"/>
      <c r="J18" s="13" t="s">
        <v>30</v>
      </c>
      <c r="K18" s="13" t="s">
        <v>30</v>
      </c>
      <c r="L18" s="28" t="s">
        <v>30</v>
      </c>
      <c r="O18" s="14">
        <v>99</v>
      </c>
      <c r="P18" s="12" t="s">
        <v>27</v>
      </c>
      <c r="U18" s="14">
        <v>99</v>
      </c>
      <c r="V18" s="12" t="s">
        <v>27</v>
      </c>
    </row>
    <row r="19" spans="1:26" x14ac:dyDescent="0.35">
      <c r="A19" s="13" t="s">
        <v>25</v>
      </c>
      <c r="B19" s="13" t="s">
        <v>30</v>
      </c>
      <c r="C19" s="13" t="s">
        <v>76</v>
      </c>
      <c r="D19" s="27" t="s">
        <v>30</v>
      </c>
      <c r="E19" s="12"/>
      <c r="F19" s="13" t="s">
        <v>30</v>
      </c>
      <c r="G19" s="13" t="s">
        <v>76</v>
      </c>
      <c r="H19" s="28" t="s">
        <v>30</v>
      </c>
      <c r="I19" s="12"/>
      <c r="J19" s="13" t="s">
        <v>30</v>
      </c>
      <c r="K19" s="13" t="s">
        <v>76</v>
      </c>
      <c r="L19" s="28" t="s">
        <v>30</v>
      </c>
      <c r="O19" s="14">
        <v>4</v>
      </c>
      <c r="P19" s="12" t="s">
        <v>27</v>
      </c>
      <c r="U19" s="14">
        <v>4</v>
      </c>
      <c r="V19" s="12" t="s">
        <v>27</v>
      </c>
    </row>
    <row r="20" spans="1:26" x14ac:dyDescent="0.35">
      <c r="A20" s="13" t="s">
        <v>25</v>
      </c>
      <c r="B20" s="13" t="s">
        <v>30</v>
      </c>
      <c r="C20" s="13" t="s">
        <v>27</v>
      </c>
      <c r="D20" s="27" t="s">
        <v>30</v>
      </c>
      <c r="E20" s="12"/>
      <c r="F20" s="13" t="s">
        <v>30</v>
      </c>
      <c r="G20" s="13" t="s">
        <v>27</v>
      </c>
      <c r="H20" s="28" t="s">
        <v>30</v>
      </c>
      <c r="I20" s="12"/>
      <c r="J20" s="13" t="s">
        <v>30</v>
      </c>
      <c r="K20" s="13" t="s">
        <v>27</v>
      </c>
      <c r="L20" s="28" t="s">
        <v>30</v>
      </c>
      <c r="O20" s="14">
        <v>3.9998999999999998</v>
      </c>
      <c r="P20" s="12" t="s">
        <v>76</v>
      </c>
      <c r="U20" s="14">
        <v>3.9998999999999998</v>
      </c>
      <c r="V20" s="12" t="s">
        <v>76</v>
      </c>
    </row>
    <row r="21" spans="1:26" x14ac:dyDescent="0.35">
      <c r="A21" s="13" t="s">
        <v>25</v>
      </c>
      <c r="B21" s="13" t="s">
        <v>76</v>
      </c>
      <c r="C21" s="13" t="s">
        <v>25</v>
      </c>
      <c r="D21" s="27" t="s">
        <v>75</v>
      </c>
      <c r="E21" s="12"/>
      <c r="F21" s="13" t="s">
        <v>76</v>
      </c>
      <c r="G21" s="13" t="s">
        <v>25</v>
      </c>
      <c r="H21" s="28" t="s">
        <v>75</v>
      </c>
      <c r="I21" s="12"/>
      <c r="J21" s="13" t="s">
        <v>76</v>
      </c>
      <c r="K21" s="13" t="s">
        <v>25</v>
      </c>
      <c r="L21" s="28" t="s">
        <v>75</v>
      </c>
      <c r="O21" s="14">
        <v>2.9998999999999998</v>
      </c>
      <c r="P21" s="12" t="s">
        <v>75</v>
      </c>
      <c r="U21" s="14">
        <v>2.9998999999999998</v>
      </c>
      <c r="V21" s="12" t="s">
        <v>75</v>
      </c>
    </row>
    <row r="22" spans="1:26" x14ac:dyDescent="0.35">
      <c r="A22" s="13" t="s">
        <v>25</v>
      </c>
      <c r="B22" s="13" t="s">
        <v>76</v>
      </c>
      <c r="C22" s="13" t="s">
        <v>75</v>
      </c>
      <c r="D22" s="27" t="s">
        <v>75</v>
      </c>
      <c r="E22" s="12"/>
      <c r="F22" s="13" t="s">
        <v>76</v>
      </c>
      <c r="G22" s="13" t="s">
        <v>75</v>
      </c>
      <c r="H22" s="28" t="s">
        <v>30</v>
      </c>
      <c r="I22" s="12"/>
      <c r="J22" s="13" t="s">
        <v>76</v>
      </c>
      <c r="K22" s="13" t="s">
        <v>75</v>
      </c>
      <c r="L22" s="28" t="s">
        <v>30</v>
      </c>
      <c r="O22" s="14">
        <v>1.9999</v>
      </c>
      <c r="P22" s="12" t="s">
        <v>75</v>
      </c>
      <c r="U22" s="14">
        <v>1.9999</v>
      </c>
      <c r="V22" s="12" t="s">
        <v>75</v>
      </c>
    </row>
    <row r="23" spans="1:26" x14ac:dyDescent="0.35">
      <c r="A23" s="13" t="s">
        <v>25</v>
      </c>
      <c r="B23" s="13" t="s">
        <v>76</v>
      </c>
      <c r="C23" s="13" t="s">
        <v>30</v>
      </c>
      <c r="D23" s="27" t="s">
        <v>30</v>
      </c>
      <c r="E23" s="12"/>
      <c r="F23" s="13" t="s">
        <v>76</v>
      </c>
      <c r="G23" s="13" t="s">
        <v>30</v>
      </c>
      <c r="H23" s="28" t="s">
        <v>30</v>
      </c>
      <c r="I23" s="12"/>
      <c r="J23" s="13" t="s">
        <v>76</v>
      </c>
      <c r="K23" s="13" t="s">
        <v>30</v>
      </c>
      <c r="L23" s="28" t="s">
        <v>30</v>
      </c>
      <c r="O23" s="14">
        <v>0.99990000000000001</v>
      </c>
      <c r="P23" s="12" t="s">
        <v>25</v>
      </c>
      <c r="U23" s="14">
        <v>0.99990000000000001</v>
      </c>
      <c r="V23" s="12" t="s">
        <v>25</v>
      </c>
    </row>
    <row r="24" spans="1:26" x14ac:dyDescent="0.35">
      <c r="A24" s="13" t="s">
        <v>25</v>
      </c>
      <c r="B24" s="13" t="s">
        <v>76</v>
      </c>
      <c r="C24" s="13" t="s">
        <v>76</v>
      </c>
      <c r="D24" s="27" t="s">
        <v>76</v>
      </c>
      <c r="E24" s="12"/>
      <c r="F24" s="13" t="s">
        <v>76</v>
      </c>
      <c r="G24" s="13" t="s">
        <v>76</v>
      </c>
      <c r="H24" s="28" t="s">
        <v>76</v>
      </c>
      <c r="I24" s="12"/>
      <c r="J24" s="13" t="s">
        <v>76</v>
      </c>
      <c r="K24" s="13" t="s">
        <v>76</v>
      </c>
      <c r="L24" s="28" t="s">
        <v>76</v>
      </c>
      <c r="O24" s="25" t="s">
        <v>23</v>
      </c>
      <c r="P24" s="25" t="s">
        <v>79</v>
      </c>
      <c r="Q24" s="25" t="s">
        <v>80</v>
      </c>
      <c r="U24" s="25" t="s">
        <v>21</v>
      </c>
      <c r="V24" s="25" t="s">
        <v>22</v>
      </c>
      <c r="W24" s="25" t="s">
        <v>27</v>
      </c>
      <c r="X24" s="25" t="s">
        <v>28</v>
      </c>
      <c r="Y24" s="25" t="s">
        <v>79</v>
      </c>
      <c r="Z24" s="25" t="s">
        <v>80</v>
      </c>
    </row>
    <row r="25" spans="1:26" x14ac:dyDescent="0.35">
      <c r="A25" s="13" t="s">
        <v>25</v>
      </c>
      <c r="B25" s="13" t="s">
        <v>76</v>
      </c>
      <c r="C25" s="13" t="s">
        <v>27</v>
      </c>
      <c r="D25" s="27" t="s">
        <v>76</v>
      </c>
      <c r="E25" s="12"/>
      <c r="F25" s="13" t="s">
        <v>76</v>
      </c>
      <c r="G25" s="13" t="s">
        <v>27</v>
      </c>
      <c r="H25" s="28" t="s">
        <v>76</v>
      </c>
      <c r="I25" s="12"/>
      <c r="J25" s="13" t="s">
        <v>76</v>
      </c>
      <c r="K25" s="13" t="s">
        <v>27</v>
      </c>
      <c r="L25" s="28" t="s">
        <v>76</v>
      </c>
      <c r="O25" s="13" t="str">
        <f>'NORMA PAPI'!AN2</f>
        <v>K</v>
      </c>
      <c r="P25" s="13">
        <f>SUM(VLOOKUP(O25,AA4:AB8,2,FALSE))</f>
        <v>0</v>
      </c>
      <c r="Q25" s="13" t="str">
        <f>INDEX(P18:P23,MATCH(P25,O18:O23,-1))</f>
        <v>K</v>
      </c>
      <c r="U25" s="13" t="str">
        <f>'NORMA PAPI'!AE2</f>
        <v>K</v>
      </c>
      <c r="V25" s="13" t="str">
        <f>'NORMA PAPI'!AH2</f>
        <v>K</v>
      </c>
      <c r="W25" s="13" t="str">
        <f>'NORMA PAPI'!AB2</f>
        <v>K</v>
      </c>
      <c r="X25" s="13" t="str">
        <f>'NORMA PAPI'!Y2</f>
        <v>K</v>
      </c>
      <c r="Y25" s="13">
        <f>SUM(VLOOKUP(U25,AA4:AB8,2,FALSE),VLOOKUP(V25,AA4:AB8,2,FALSE),VLOOKUP(W25,AA4:AB8,2,FALSE),VLOOKUP(X25,AA4:AB8,2,FALSE))/4</f>
        <v>0</v>
      </c>
      <c r="Z25" s="13" t="str">
        <f>INDEX(V18:V23,MATCH(Y25,U18:U23,-1))</f>
        <v>K</v>
      </c>
    </row>
    <row r="26" spans="1:26" x14ac:dyDescent="0.35">
      <c r="A26" s="13" t="s">
        <v>25</v>
      </c>
      <c r="B26" s="13" t="s">
        <v>27</v>
      </c>
      <c r="C26" s="13" t="s">
        <v>25</v>
      </c>
      <c r="D26" s="27" t="s">
        <v>25</v>
      </c>
      <c r="E26" s="12"/>
      <c r="F26" s="13" t="s">
        <v>27</v>
      </c>
      <c r="G26" s="13" t="s">
        <v>25</v>
      </c>
      <c r="H26" s="28" t="s">
        <v>75</v>
      </c>
      <c r="I26" s="12"/>
      <c r="J26" s="13" t="s">
        <v>27</v>
      </c>
      <c r="K26" s="13" t="s">
        <v>25</v>
      </c>
      <c r="L26" s="28" t="s">
        <v>75</v>
      </c>
    </row>
    <row r="27" spans="1:26" x14ac:dyDescent="0.35">
      <c r="A27" s="13" t="s">
        <v>25</v>
      </c>
      <c r="B27" s="13" t="s">
        <v>27</v>
      </c>
      <c r="C27" s="13" t="s">
        <v>75</v>
      </c>
      <c r="D27" s="27" t="s">
        <v>75</v>
      </c>
      <c r="E27" s="12"/>
      <c r="F27" s="13" t="s">
        <v>27</v>
      </c>
      <c r="G27" s="13" t="s">
        <v>75</v>
      </c>
      <c r="H27" s="28" t="s">
        <v>30</v>
      </c>
      <c r="I27" s="12"/>
      <c r="J27" s="13" t="s">
        <v>27</v>
      </c>
      <c r="K27" s="13" t="s">
        <v>75</v>
      </c>
      <c r="L27" s="28" t="s">
        <v>30</v>
      </c>
    </row>
    <row r="28" spans="1:26" x14ac:dyDescent="0.35">
      <c r="A28" s="13" t="s">
        <v>25</v>
      </c>
      <c r="B28" s="13" t="s">
        <v>27</v>
      </c>
      <c r="C28" s="13" t="s">
        <v>30</v>
      </c>
      <c r="D28" s="27" t="s">
        <v>30</v>
      </c>
      <c r="E28" s="12"/>
      <c r="F28" s="13" t="s">
        <v>27</v>
      </c>
      <c r="G28" s="13" t="s">
        <v>30</v>
      </c>
      <c r="H28" s="28" t="s">
        <v>30</v>
      </c>
      <c r="I28" s="12"/>
      <c r="J28" s="13" t="s">
        <v>27</v>
      </c>
      <c r="K28" s="13" t="s">
        <v>30</v>
      </c>
      <c r="L28" s="28" t="s">
        <v>30</v>
      </c>
      <c r="O28" s="341" t="s">
        <v>89</v>
      </c>
      <c r="P28" s="341"/>
      <c r="Q28" s="341"/>
      <c r="R28" s="341"/>
      <c r="S28" s="341"/>
      <c r="U28" s="341" t="s">
        <v>90</v>
      </c>
      <c r="V28" s="341"/>
      <c r="W28" s="341"/>
      <c r="X28" s="341"/>
      <c r="Y28" s="341"/>
    </row>
    <row r="29" spans="1:26" x14ac:dyDescent="0.35">
      <c r="A29" s="13" t="s">
        <v>25</v>
      </c>
      <c r="B29" s="13" t="s">
        <v>27</v>
      </c>
      <c r="C29" s="13" t="s">
        <v>76</v>
      </c>
      <c r="D29" s="27" t="s">
        <v>76</v>
      </c>
      <c r="E29" s="12"/>
      <c r="F29" s="13" t="s">
        <v>27</v>
      </c>
      <c r="G29" s="13" t="s">
        <v>76</v>
      </c>
      <c r="H29" s="28" t="s">
        <v>76</v>
      </c>
      <c r="I29" s="12"/>
      <c r="J29" s="13" t="s">
        <v>27</v>
      </c>
      <c r="K29" s="13" t="s">
        <v>76</v>
      </c>
      <c r="L29" s="28" t="s">
        <v>76</v>
      </c>
      <c r="O29" s="25" t="s">
        <v>79</v>
      </c>
      <c r="P29" s="25" t="s">
        <v>80</v>
      </c>
      <c r="U29" s="25" t="s">
        <v>79</v>
      </c>
      <c r="V29" s="25" t="s">
        <v>80</v>
      </c>
    </row>
    <row r="30" spans="1:26" x14ac:dyDescent="0.35">
      <c r="A30" s="13" t="s">
        <v>25</v>
      </c>
      <c r="B30" s="13" t="s">
        <v>27</v>
      </c>
      <c r="C30" s="13" t="s">
        <v>27</v>
      </c>
      <c r="D30" s="27" t="s">
        <v>76</v>
      </c>
      <c r="E30" s="12"/>
      <c r="F30" s="13" t="s">
        <v>27</v>
      </c>
      <c r="G30" s="13" t="s">
        <v>27</v>
      </c>
      <c r="H30" s="28" t="s">
        <v>27</v>
      </c>
      <c r="I30" s="12"/>
      <c r="J30" s="13" t="s">
        <v>27</v>
      </c>
      <c r="K30" s="13" t="s">
        <v>27</v>
      </c>
      <c r="L30" s="28" t="s">
        <v>27</v>
      </c>
      <c r="O30" s="14">
        <v>99</v>
      </c>
      <c r="P30" s="12" t="s">
        <v>27</v>
      </c>
      <c r="U30" s="14">
        <v>99</v>
      </c>
      <c r="V30" s="12" t="s">
        <v>27</v>
      </c>
    </row>
    <row r="31" spans="1:26" x14ac:dyDescent="0.35">
      <c r="A31" s="13" t="s">
        <v>75</v>
      </c>
      <c r="B31" s="13" t="s">
        <v>25</v>
      </c>
      <c r="C31" s="13" t="s">
        <v>25</v>
      </c>
      <c r="D31" s="27" t="s">
        <v>25</v>
      </c>
      <c r="E31" s="12"/>
      <c r="F31" s="12"/>
      <c r="G31" s="12"/>
      <c r="H31" s="12"/>
      <c r="I31" s="12"/>
      <c r="J31" s="12"/>
      <c r="K31" s="12"/>
      <c r="L31" s="12"/>
      <c r="O31" s="14">
        <v>4</v>
      </c>
      <c r="P31" s="12" t="s">
        <v>27</v>
      </c>
      <c r="U31" s="14">
        <v>4</v>
      </c>
      <c r="V31" s="12" t="s">
        <v>27</v>
      </c>
    </row>
    <row r="32" spans="1:26" x14ac:dyDescent="0.35">
      <c r="A32" s="13" t="s">
        <v>75</v>
      </c>
      <c r="B32" s="13" t="s">
        <v>25</v>
      </c>
      <c r="C32" s="13" t="s">
        <v>75</v>
      </c>
      <c r="D32" s="27" t="s">
        <v>75</v>
      </c>
      <c r="E32" s="12"/>
      <c r="F32" s="12"/>
      <c r="G32" s="12"/>
      <c r="H32" s="12"/>
      <c r="I32" s="12"/>
      <c r="J32" s="12"/>
      <c r="K32" s="12"/>
      <c r="L32" s="12"/>
      <c r="O32" s="14">
        <v>3.9998999999999998</v>
      </c>
      <c r="P32" s="12" t="s">
        <v>76</v>
      </c>
      <c r="U32" s="14">
        <v>3.9998999999999998</v>
      </c>
      <c r="V32" s="12" t="s">
        <v>76</v>
      </c>
    </row>
    <row r="33" spans="1:25" x14ac:dyDescent="0.35">
      <c r="A33" s="13" t="s">
        <v>75</v>
      </c>
      <c r="B33" s="13" t="s">
        <v>25</v>
      </c>
      <c r="C33" s="13" t="s">
        <v>30</v>
      </c>
      <c r="D33" s="27" t="s">
        <v>75</v>
      </c>
      <c r="E33" s="12"/>
      <c r="F33" s="12"/>
      <c r="G33" s="12"/>
      <c r="H33" s="12"/>
      <c r="I33" s="12"/>
      <c r="J33" s="12"/>
      <c r="K33" s="12"/>
      <c r="L33" s="12"/>
      <c r="O33" s="14">
        <v>2.9998999999999998</v>
      </c>
      <c r="P33" s="12" t="s">
        <v>75</v>
      </c>
      <c r="U33" s="14">
        <v>2.9998999999999998</v>
      </c>
      <c r="V33" s="12" t="s">
        <v>75</v>
      </c>
    </row>
    <row r="34" spans="1:25" x14ac:dyDescent="0.35">
      <c r="A34" s="13" t="s">
        <v>75</v>
      </c>
      <c r="B34" s="13" t="s">
        <v>25</v>
      </c>
      <c r="C34" s="13" t="s">
        <v>76</v>
      </c>
      <c r="D34" s="27" t="s">
        <v>30</v>
      </c>
      <c r="E34" s="12"/>
      <c r="F34" s="12"/>
      <c r="G34" s="12"/>
      <c r="H34" s="12"/>
      <c r="I34" s="12"/>
      <c r="J34" s="12"/>
      <c r="K34" s="12"/>
      <c r="L34" s="12"/>
      <c r="O34" s="14">
        <v>1.9999</v>
      </c>
      <c r="P34" s="12" t="s">
        <v>75</v>
      </c>
      <c r="U34" s="14">
        <v>1.9999</v>
      </c>
      <c r="V34" s="12" t="s">
        <v>75</v>
      </c>
    </row>
    <row r="35" spans="1:25" x14ac:dyDescent="0.35">
      <c r="A35" s="13" t="s">
        <v>75</v>
      </c>
      <c r="B35" s="13" t="s">
        <v>25</v>
      </c>
      <c r="C35" s="13" t="s">
        <v>27</v>
      </c>
      <c r="D35" s="27" t="s">
        <v>30</v>
      </c>
      <c r="E35" s="12"/>
      <c r="F35" s="12"/>
      <c r="G35" s="12"/>
      <c r="H35" s="12"/>
      <c r="I35" s="12"/>
      <c r="J35" s="12"/>
      <c r="K35" s="12"/>
      <c r="L35" s="12"/>
      <c r="O35" s="14">
        <v>0.99990000000000001</v>
      </c>
      <c r="P35" s="12" t="s">
        <v>25</v>
      </c>
      <c r="U35" s="14">
        <v>0.99990000000000001</v>
      </c>
      <c r="V35" s="12" t="s">
        <v>25</v>
      </c>
    </row>
    <row r="36" spans="1:25" x14ac:dyDescent="0.35">
      <c r="A36" s="13" t="s">
        <v>75</v>
      </c>
      <c r="B36" s="13" t="s">
        <v>75</v>
      </c>
      <c r="C36" s="13" t="s">
        <v>25</v>
      </c>
      <c r="D36" s="27" t="s">
        <v>75</v>
      </c>
      <c r="E36" s="12"/>
      <c r="F36" s="12"/>
      <c r="G36" s="12"/>
      <c r="H36" s="12"/>
      <c r="I36" s="12"/>
      <c r="J36" s="12"/>
      <c r="K36" s="12"/>
      <c r="L36" s="12"/>
      <c r="O36" s="25" t="s">
        <v>29</v>
      </c>
      <c r="P36" s="25" t="s">
        <v>25</v>
      </c>
      <c r="Q36" s="25" t="s">
        <v>79</v>
      </c>
      <c r="R36" s="25" t="s">
        <v>80</v>
      </c>
      <c r="U36" s="25" t="s">
        <v>17</v>
      </c>
      <c r="V36" s="25" t="s">
        <v>18</v>
      </c>
      <c r="W36" s="25" t="s">
        <v>19</v>
      </c>
      <c r="X36" s="25" t="s">
        <v>79</v>
      </c>
      <c r="Y36" s="25" t="s">
        <v>80</v>
      </c>
    </row>
    <row r="37" spans="1:25" x14ac:dyDescent="0.35">
      <c r="A37" s="13" t="s">
        <v>75</v>
      </c>
      <c r="B37" s="13" t="s">
        <v>75</v>
      </c>
      <c r="C37" s="13" t="s">
        <v>75</v>
      </c>
      <c r="D37" s="27" t="s">
        <v>75</v>
      </c>
      <c r="E37" s="12"/>
      <c r="F37" s="12"/>
      <c r="G37" s="12"/>
      <c r="H37" s="12"/>
      <c r="I37" s="12"/>
      <c r="J37" s="12"/>
      <c r="K37" s="12"/>
      <c r="L37" s="12"/>
      <c r="O37" s="13" t="str">
        <f>'NORMA PAPI'!AW2</f>
        <v>K</v>
      </c>
      <c r="P37" s="13" t="str">
        <f>'NORMA PAPI'!AZ2</f>
        <v>B</v>
      </c>
      <c r="Q37" s="13">
        <f>SUM(VLOOKUP(O37,AA3:AB8,2,FALSE),VLOOKUP(P37,AA3:AB8,2,FALSE))/2</f>
        <v>2</v>
      </c>
      <c r="R37" s="13" t="str">
        <f>INDEX(P30:P35,MATCH(Q37,O30:O35,-1))</f>
        <v>C-</v>
      </c>
      <c r="U37" s="13" t="str">
        <f>'NORMA PAPI'!J2</f>
        <v>K</v>
      </c>
      <c r="V37" s="13" t="str">
        <f>'NORMA PAPI'!M2</f>
        <v>K</v>
      </c>
      <c r="W37" s="13" t="str">
        <f>'NORMA PAPI'!P2</f>
        <v>K</v>
      </c>
      <c r="X37" s="13">
        <f>SUM(VLOOKUP(U37,AA4:AB8,2,FALSE),VLOOKUP(V37,AA4:AB8,2,FALSE),VLOOKUP(W37,AA4:AB8,2,FALSE))/3</f>
        <v>0</v>
      </c>
      <c r="Y37" s="13" t="str">
        <f>INDEX(V30:V35,MATCH(X37,U30:U35,-1))</f>
        <v>K</v>
      </c>
    </row>
    <row r="38" spans="1:25" x14ac:dyDescent="0.35">
      <c r="A38" s="13" t="s">
        <v>75</v>
      </c>
      <c r="B38" s="13" t="s">
        <v>75</v>
      </c>
      <c r="C38" s="13" t="s">
        <v>30</v>
      </c>
      <c r="D38" s="27" t="s">
        <v>75</v>
      </c>
      <c r="E38" s="12"/>
      <c r="F38" s="12"/>
      <c r="G38" s="12"/>
      <c r="H38" s="12"/>
      <c r="I38" s="12"/>
      <c r="J38" s="12"/>
      <c r="K38" s="12"/>
      <c r="L38" s="12"/>
    </row>
    <row r="39" spans="1:25" x14ac:dyDescent="0.35">
      <c r="A39" s="13" t="s">
        <v>75</v>
      </c>
      <c r="B39" s="13" t="s">
        <v>75</v>
      </c>
      <c r="C39" s="13" t="s">
        <v>76</v>
      </c>
      <c r="D39" s="27" t="s">
        <v>30</v>
      </c>
      <c r="E39" s="12"/>
      <c r="F39" s="12"/>
      <c r="G39" s="12"/>
      <c r="H39" s="12"/>
      <c r="I39" s="12"/>
      <c r="J39" s="12"/>
      <c r="K39" s="12"/>
      <c r="L39" s="12"/>
    </row>
    <row r="40" spans="1:25" x14ac:dyDescent="0.35">
      <c r="A40" s="13" t="s">
        <v>75</v>
      </c>
      <c r="B40" s="13" t="s">
        <v>75</v>
      </c>
      <c r="C40" s="13" t="s">
        <v>27</v>
      </c>
      <c r="D40" s="27" t="s">
        <v>30</v>
      </c>
      <c r="E40" s="12"/>
      <c r="F40" s="12"/>
      <c r="G40" s="12"/>
      <c r="H40" s="12"/>
      <c r="I40" s="12"/>
      <c r="J40" s="12"/>
      <c r="K40" s="12"/>
      <c r="L40" s="12"/>
      <c r="O40" s="341" t="s">
        <v>147</v>
      </c>
      <c r="P40" s="341"/>
      <c r="Q40" s="341"/>
      <c r="R40" s="341"/>
      <c r="S40" s="341"/>
    </row>
    <row r="41" spans="1:25" x14ac:dyDescent="0.35">
      <c r="A41" s="13" t="s">
        <v>75</v>
      </c>
      <c r="B41" s="13" t="s">
        <v>30</v>
      </c>
      <c r="C41" s="13" t="s">
        <v>25</v>
      </c>
      <c r="D41" s="27" t="s">
        <v>30</v>
      </c>
      <c r="E41" s="12"/>
      <c r="F41" s="12"/>
      <c r="G41" s="12"/>
      <c r="H41" s="12"/>
      <c r="I41" s="12"/>
      <c r="J41" s="12"/>
      <c r="K41" s="12"/>
      <c r="L41" s="12"/>
      <c r="O41" s="25" t="s">
        <v>79</v>
      </c>
      <c r="P41" s="25" t="s">
        <v>80</v>
      </c>
    </row>
    <row r="42" spans="1:25" x14ac:dyDescent="0.35">
      <c r="A42" s="13" t="s">
        <v>75</v>
      </c>
      <c r="B42" s="13" t="s">
        <v>30</v>
      </c>
      <c r="C42" s="13" t="s">
        <v>75</v>
      </c>
      <c r="D42" s="27" t="s">
        <v>30</v>
      </c>
      <c r="E42" s="12"/>
      <c r="F42" s="12"/>
      <c r="G42" s="12"/>
      <c r="H42" s="12"/>
      <c r="I42" s="12"/>
      <c r="J42" s="12"/>
      <c r="K42" s="12"/>
      <c r="L42" s="12"/>
      <c r="O42" s="14">
        <v>99</v>
      </c>
      <c r="P42" s="12" t="s">
        <v>27</v>
      </c>
    </row>
    <row r="43" spans="1:25" x14ac:dyDescent="0.35">
      <c r="A43" s="13" t="s">
        <v>75</v>
      </c>
      <c r="B43" s="13" t="s">
        <v>30</v>
      </c>
      <c r="C43" s="13" t="s">
        <v>30</v>
      </c>
      <c r="D43" s="27" t="s">
        <v>30</v>
      </c>
      <c r="E43" s="12"/>
      <c r="F43" s="12"/>
      <c r="G43" s="12"/>
      <c r="H43" s="12"/>
      <c r="I43" s="12"/>
      <c r="J43" s="12"/>
      <c r="K43" s="12"/>
      <c r="L43" s="12"/>
      <c r="O43" s="14">
        <v>4</v>
      </c>
      <c r="P43" s="12" t="s">
        <v>27</v>
      </c>
    </row>
    <row r="44" spans="1:25" x14ac:dyDescent="0.35">
      <c r="A44" s="13" t="s">
        <v>75</v>
      </c>
      <c r="B44" s="13" t="s">
        <v>30</v>
      </c>
      <c r="C44" s="13" t="s">
        <v>76</v>
      </c>
      <c r="D44" s="27" t="s">
        <v>30</v>
      </c>
      <c r="E44" s="12"/>
      <c r="F44" s="12"/>
      <c r="G44" s="12"/>
      <c r="H44" s="12"/>
      <c r="I44" s="12"/>
      <c r="J44" s="12"/>
      <c r="K44" s="12"/>
      <c r="L44" s="12"/>
      <c r="O44" s="14">
        <v>3.9998999999999998</v>
      </c>
      <c r="P44" s="12" t="s">
        <v>76</v>
      </c>
    </row>
    <row r="45" spans="1:25" x14ac:dyDescent="0.35">
      <c r="A45" s="13" t="s">
        <v>75</v>
      </c>
      <c r="B45" s="13" t="s">
        <v>30</v>
      </c>
      <c r="C45" s="13" t="s">
        <v>27</v>
      </c>
      <c r="D45" s="27" t="s">
        <v>30</v>
      </c>
      <c r="E45" s="12"/>
      <c r="F45" s="12"/>
      <c r="G45" s="12"/>
      <c r="H45" s="12"/>
      <c r="I45" s="12"/>
      <c r="J45" s="12"/>
      <c r="K45" s="12"/>
      <c r="L45" s="12"/>
      <c r="O45" s="14">
        <v>2.9998999999999998</v>
      </c>
      <c r="P45" s="12" t="s">
        <v>75</v>
      </c>
    </row>
    <row r="46" spans="1:25" x14ac:dyDescent="0.35">
      <c r="A46" s="13" t="s">
        <v>75</v>
      </c>
      <c r="B46" s="13" t="s">
        <v>76</v>
      </c>
      <c r="C46" s="13" t="s">
        <v>25</v>
      </c>
      <c r="D46" s="27" t="s">
        <v>75</v>
      </c>
      <c r="E46" s="12"/>
      <c r="F46" s="12"/>
      <c r="G46" s="12"/>
      <c r="H46" s="12"/>
      <c r="I46" s="12"/>
      <c r="J46" s="12"/>
      <c r="K46" s="12"/>
      <c r="L46" s="12"/>
      <c r="O46" s="14">
        <v>1.9999</v>
      </c>
      <c r="P46" s="12" t="s">
        <v>75</v>
      </c>
    </row>
    <row r="47" spans="1:25" x14ac:dyDescent="0.35">
      <c r="A47" s="13" t="s">
        <v>75</v>
      </c>
      <c r="B47" s="13" t="s">
        <v>76</v>
      </c>
      <c r="C47" s="13" t="s">
        <v>75</v>
      </c>
      <c r="D47" s="27" t="s">
        <v>75</v>
      </c>
      <c r="E47" s="12"/>
      <c r="F47" s="12"/>
      <c r="G47" s="12"/>
      <c r="H47" s="12"/>
      <c r="I47" s="12"/>
      <c r="J47" s="12"/>
      <c r="K47" s="12"/>
      <c r="L47" s="12"/>
      <c r="O47" s="14">
        <v>0.99990000000000001</v>
      </c>
      <c r="P47" s="12" t="s">
        <v>25</v>
      </c>
    </row>
    <row r="48" spans="1:25" x14ac:dyDescent="0.35">
      <c r="A48" s="13" t="s">
        <v>75</v>
      </c>
      <c r="B48" s="13" t="s">
        <v>76</v>
      </c>
      <c r="C48" s="13" t="s">
        <v>30</v>
      </c>
      <c r="D48" s="27" t="s">
        <v>30</v>
      </c>
      <c r="E48" s="12"/>
      <c r="F48" s="12"/>
      <c r="G48" s="12"/>
      <c r="H48" s="12"/>
      <c r="I48" s="12"/>
      <c r="J48" s="12"/>
      <c r="K48" s="12"/>
      <c r="L48" s="12"/>
      <c r="O48" s="25" t="s">
        <v>21</v>
      </c>
      <c r="P48" s="25" t="s">
        <v>25</v>
      </c>
      <c r="Q48" s="25" t="s">
        <v>79</v>
      </c>
      <c r="R48" s="25" t="s">
        <v>80</v>
      </c>
    </row>
    <row r="49" spans="1:18" x14ac:dyDescent="0.35">
      <c r="A49" s="13" t="s">
        <v>75</v>
      </c>
      <c r="B49" s="13" t="s">
        <v>76</v>
      </c>
      <c r="C49" s="13" t="s">
        <v>76</v>
      </c>
      <c r="D49" s="27" t="s">
        <v>30</v>
      </c>
      <c r="E49" s="12"/>
      <c r="F49" s="12"/>
      <c r="G49" s="12"/>
      <c r="H49" s="12"/>
      <c r="I49" s="12"/>
      <c r="J49" s="12"/>
      <c r="K49" s="12"/>
      <c r="L49" s="12"/>
      <c r="O49" s="13" t="str">
        <f>'NORMA PAPI'!AE2</f>
        <v>K</v>
      </c>
      <c r="P49" s="13" t="str">
        <f>'NORMA PAPI'!AZ2</f>
        <v>B</v>
      </c>
      <c r="Q49" s="13">
        <f>SUM(VLOOKUP(O49,AA4:AB8,2,FALSE),VLOOKUP(P49,AA4:AB8,2,FALSE))/2</f>
        <v>2</v>
      </c>
      <c r="R49" s="13" t="str">
        <f>INDEX(P42:P47,MATCH(Q49,O42:O47,-1))</f>
        <v>C-</v>
      </c>
    </row>
    <row r="50" spans="1:18" x14ac:dyDescent="0.35">
      <c r="A50" s="13" t="s">
        <v>75</v>
      </c>
      <c r="B50" s="13" t="s">
        <v>76</v>
      </c>
      <c r="C50" s="13" t="s">
        <v>27</v>
      </c>
      <c r="D50" s="27" t="s">
        <v>76</v>
      </c>
      <c r="E50" s="12"/>
      <c r="F50" s="12"/>
      <c r="G50" s="12"/>
      <c r="H50" s="12"/>
      <c r="I50" s="12"/>
      <c r="J50" s="12"/>
      <c r="K50" s="12"/>
      <c r="L50" s="12"/>
    </row>
    <row r="51" spans="1:18" x14ac:dyDescent="0.35">
      <c r="A51" s="13" t="s">
        <v>75</v>
      </c>
      <c r="B51" s="13" t="s">
        <v>27</v>
      </c>
      <c r="C51" s="13" t="s">
        <v>25</v>
      </c>
      <c r="D51" s="27" t="s">
        <v>75</v>
      </c>
      <c r="E51" s="12"/>
      <c r="F51" s="12"/>
      <c r="G51" s="12"/>
      <c r="H51" s="12"/>
      <c r="I51" s="12"/>
      <c r="J51" s="12"/>
      <c r="K51" s="12"/>
      <c r="L51" s="12"/>
    </row>
    <row r="52" spans="1:18" x14ac:dyDescent="0.35">
      <c r="A52" s="13" t="s">
        <v>75</v>
      </c>
      <c r="B52" s="13" t="s">
        <v>27</v>
      </c>
      <c r="C52" s="13" t="s">
        <v>75</v>
      </c>
      <c r="D52" s="27" t="s">
        <v>30</v>
      </c>
      <c r="E52" s="12"/>
      <c r="F52" s="12"/>
      <c r="G52" s="12"/>
      <c r="H52" s="12"/>
      <c r="I52" s="12"/>
      <c r="J52" s="12"/>
      <c r="K52" s="12"/>
      <c r="L52" s="12"/>
    </row>
    <row r="53" spans="1:18" x14ac:dyDescent="0.35">
      <c r="A53" s="13" t="s">
        <v>75</v>
      </c>
      <c r="B53" s="13" t="s">
        <v>27</v>
      </c>
      <c r="C53" s="13" t="s">
        <v>30</v>
      </c>
      <c r="D53" s="27" t="s">
        <v>30</v>
      </c>
      <c r="E53" s="12"/>
      <c r="F53" s="12"/>
      <c r="G53" s="12"/>
      <c r="H53" s="12"/>
      <c r="I53" s="12"/>
      <c r="J53" s="12"/>
      <c r="K53" s="12"/>
      <c r="L53" s="12"/>
    </row>
    <row r="54" spans="1:18" x14ac:dyDescent="0.35">
      <c r="A54" s="13" t="s">
        <v>75</v>
      </c>
      <c r="B54" s="13" t="s">
        <v>27</v>
      </c>
      <c r="C54" s="13" t="s">
        <v>76</v>
      </c>
      <c r="D54" s="27" t="s">
        <v>76</v>
      </c>
      <c r="E54" s="12"/>
      <c r="F54" s="12"/>
      <c r="G54" s="12"/>
      <c r="H54" s="12"/>
      <c r="I54" s="12"/>
      <c r="J54" s="12"/>
      <c r="K54" s="12"/>
      <c r="L54" s="12"/>
    </row>
    <row r="55" spans="1:18" x14ac:dyDescent="0.35">
      <c r="A55" s="13" t="s">
        <v>75</v>
      </c>
      <c r="B55" s="13" t="s">
        <v>27</v>
      </c>
      <c r="C55" s="13" t="s">
        <v>27</v>
      </c>
      <c r="D55" s="27" t="s">
        <v>76</v>
      </c>
      <c r="E55" s="12"/>
      <c r="F55" s="12"/>
      <c r="G55" s="12"/>
      <c r="H55" s="12"/>
      <c r="I55" s="12"/>
      <c r="J55" s="12"/>
      <c r="K55" s="12"/>
      <c r="L55" s="12"/>
    </row>
    <row r="56" spans="1:18" x14ac:dyDescent="0.35">
      <c r="A56" s="13" t="s">
        <v>30</v>
      </c>
      <c r="B56" s="13" t="s">
        <v>25</v>
      </c>
      <c r="C56" s="13" t="s">
        <v>25</v>
      </c>
      <c r="D56" s="27" t="s">
        <v>25</v>
      </c>
      <c r="E56" s="12"/>
      <c r="F56" s="12"/>
      <c r="G56" s="12"/>
      <c r="H56" s="12"/>
      <c r="I56" s="12"/>
      <c r="J56" s="12"/>
      <c r="K56" s="12"/>
      <c r="L56" s="12"/>
    </row>
    <row r="57" spans="1:18" x14ac:dyDescent="0.35">
      <c r="A57" s="13" t="s">
        <v>30</v>
      </c>
      <c r="B57" s="13" t="s">
        <v>25</v>
      </c>
      <c r="C57" s="13" t="s">
        <v>75</v>
      </c>
      <c r="D57" s="27" t="s">
        <v>75</v>
      </c>
      <c r="E57" s="12"/>
      <c r="F57" s="12"/>
      <c r="G57" s="12"/>
      <c r="H57" s="12"/>
      <c r="I57" s="12"/>
      <c r="J57" s="12"/>
      <c r="K57" s="12"/>
      <c r="L57" s="12"/>
    </row>
    <row r="58" spans="1:18" x14ac:dyDescent="0.35">
      <c r="A58" s="13" t="s">
        <v>30</v>
      </c>
      <c r="B58" s="13" t="s">
        <v>25</v>
      </c>
      <c r="C58" s="13" t="s">
        <v>30</v>
      </c>
      <c r="D58" s="27" t="s">
        <v>30</v>
      </c>
      <c r="E58" s="12"/>
      <c r="F58" s="12"/>
      <c r="G58" s="12"/>
      <c r="H58" s="12"/>
      <c r="I58" s="12"/>
      <c r="J58" s="12"/>
      <c r="K58" s="12"/>
      <c r="L58" s="12"/>
    </row>
    <row r="59" spans="1:18" x14ac:dyDescent="0.35">
      <c r="A59" s="13" t="s">
        <v>30</v>
      </c>
      <c r="B59" s="13" t="s">
        <v>25</v>
      </c>
      <c r="C59" s="13" t="s">
        <v>76</v>
      </c>
      <c r="D59" s="27" t="s">
        <v>30</v>
      </c>
      <c r="E59" s="12"/>
      <c r="F59" s="12"/>
      <c r="G59" s="12"/>
      <c r="H59" s="12"/>
      <c r="I59" s="12"/>
      <c r="J59" s="12"/>
      <c r="K59" s="12"/>
      <c r="L59" s="12"/>
    </row>
    <row r="60" spans="1:18" x14ac:dyDescent="0.35">
      <c r="A60" s="13" t="s">
        <v>30</v>
      </c>
      <c r="B60" s="13" t="s">
        <v>25</v>
      </c>
      <c r="C60" s="13" t="s">
        <v>27</v>
      </c>
      <c r="D60" s="27" t="s">
        <v>30</v>
      </c>
      <c r="E60" s="12"/>
      <c r="F60" s="12"/>
      <c r="G60" s="12"/>
      <c r="H60" s="12"/>
      <c r="I60" s="12"/>
      <c r="J60" s="12"/>
      <c r="K60" s="12"/>
      <c r="L60" s="12"/>
    </row>
    <row r="61" spans="1:18" x14ac:dyDescent="0.35">
      <c r="A61" s="13" t="s">
        <v>30</v>
      </c>
      <c r="B61" s="13" t="s">
        <v>75</v>
      </c>
      <c r="C61" s="13" t="s">
        <v>25</v>
      </c>
      <c r="D61" s="27" t="s">
        <v>30</v>
      </c>
      <c r="E61" s="12"/>
      <c r="F61" s="12"/>
      <c r="G61" s="12"/>
      <c r="H61" s="12"/>
      <c r="I61" s="12"/>
      <c r="J61" s="12"/>
      <c r="K61" s="12"/>
      <c r="L61" s="12"/>
    </row>
    <row r="62" spans="1:18" x14ac:dyDescent="0.35">
      <c r="A62" s="13" t="s">
        <v>30</v>
      </c>
      <c r="B62" s="13" t="s">
        <v>75</v>
      </c>
      <c r="C62" s="13" t="s">
        <v>75</v>
      </c>
      <c r="D62" s="27" t="s">
        <v>75</v>
      </c>
      <c r="E62" s="12"/>
      <c r="F62" s="12"/>
      <c r="G62" s="12"/>
      <c r="H62" s="12"/>
      <c r="I62" s="12"/>
      <c r="J62" s="12"/>
      <c r="K62" s="12"/>
      <c r="L62" s="12"/>
    </row>
    <row r="63" spans="1:18" x14ac:dyDescent="0.35">
      <c r="A63" s="13" t="s">
        <v>30</v>
      </c>
      <c r="B63" s="13" t="s">
        <v>75</v>
      </c>
      <c r="C63" s="13" t="s">
        <v>30</v>
      </c>
      <c r="D63" s="27" t="s">
        <v>30</v>
      </c>
      <c r="E63" s="12"/>
      <c r="F63" s="12"/>
      <c r="G63" s="12"/>
      <c r="H63" s="12"/>
      <c r="I63" s="12"/>
      <c r="J63" s="12"/>
      <c r="K63" s="12"/>
      <c r="L63" s="12"/>
    </row>
    <row r="64" spans="1:18" x14ac:dyDescent="0.35">
      <c r="A64" s="13" t="s">
        <v>30</v>
      </c>
      <c r="B64" s="13" t="s">
        <v>75</v>
      </c>
      <c r="C64" s="13" t="s">
        <v>76</v>
      </c>
      <c r="D64" s="27" t="s">
        <v>30</v>
      </c>
      <c r="E64" s="12"/>
      <c r="F64" s="12"/>
      <c r="G64" s="12"/>
      <c r="H64" s="12"/>
      <c r="I64" s="12"/>
      <c r="J64" s="12"/>
      <c r="K64" s="12"/>
      <c r="L64" s="12"/>
    </row>
    <row r="65" spans="1:12" x14ac:dyDescent="0.35">
      <c r="A65" s="13" t="s">
        <v>30</v>
      </c>
      <c r="B65" s="13" t="s">
        <v>75</v>
      </c>
      <c r="C65" s="13" t="s">
        <v>27</v>
      </c>
      <c r="D65" s="27" t="s">
        <v>30</v>
      </c>
      <c r="E65" s="12"/>
      <c r="F65" s="12"/>
      <c r="G65" s="12"/>
      <c r="H65" s="12"/>
      <c r="I65" s="12"/>
      <c r="J65" s="12"/>
      <c r="K65" s="12"/>
      <c r="L65" s="12"/>
    </row>
    <row r="66" spans="1:12" x14ac:dyDescent="0.35">
      <c r="A66" s="13" t="s">
        <v>30</v>
      </c>
      <c r="B66" s="13" t="s">
        <v>30</v>
      </c>
      <c r="C66" s="13" t="s">
        <v>25</v>
      </c>
      <c r="D66" s="27" t="s">
        <v>30</v>
      </c>
      <c r="E66" s="12"/>
      <c r="F66" s="12"/>
      <c r="G66" s="12"/>
      <c r="H66" s="12"/>
      <c r="I66" s="12"/>
      <c r="J66" s="12"/>
      <c r="K66" s="12"/>
      <c r="L66" s="12"/>
    </row>
    <row r="67" spans="1:12" x14ac:dyDescent="0.35">
      <c r="A67" s="13" t="s">
        <v>30</v>
      </c>
      <c r="B67" s="13" t="s">
        <v>30</v>
      </c>
      <c r="C67" s="13" t="s">
        <v>75</v>
      </c>
      <c r="D67" s="27" t="s">
        <v>30</v>
      </c>
      <c r="E67" s="12"/>
      <c r="F67" s="12"/>
      <c r="G67" s="12"/>
      <c r="H67" s="12"/>
      <c r="I67" s="12"/>
      <c r="J67" s="12"/>
      <c r="K67" s="12"/>
      <c r="L67" s="12"/>
    </row>
    <row r="68" spans="1:12" x14ac:dyDescent="0.35">
      <c r="A68" s="13" t="s">
        <v>30</v>
      </c>
      <c r="B68" s="13" t="s">
        <v>30</v>
      </c>
      <c r="C68" s="13" t="s">
        <v>30</v>
      </c>
      <c r="D68" s="27" t="s">
        <v>30</v>
      </c>
      <c r="E68" s="12"/>
      <c r="F68" s="12"/>
      <c r="G68" s="12"/>
      <c r="H68" s="12"/>
      <c r="I68" s="12"/>
      <c r="J68" s="12"/>
      <c r="K68" s="12"/>
      <c r="L68" s="12"/>
    </row>
    <row r="69" spans="1:12" x14ac:dyDescent="0.35">
      <c r="A69" s="13" t="s">
        <v>30</v>
      </c>
      <c r="B69" s="13" t="s">
        <v>30</v>
      </c>
      <c r="C69" s="13" t="s">
        <v>76</v>
      </c>
      <c r="D69" s="27" t="s">
        <v>30</v>
      </c>
      <c r="E69" s="12"/>
      <c r="F69" s="12"/>
      <c r="G69" s="12"/>
      <c r="H69" s="12"/>
      <c r="I69" s="12"/>
      <c r="J69" s="12"/>
      <c r="K69" s="12"/>
      <c r="L69" s="12"/>
    </row>
    <row r="70" spans="1:12" x14ac:dyDescent="0.35">
      <c r="A70" s="13" t="s">
        <v>30</v>
      </c>
      <c r="B70" s="13" t="s">
        <v>30</v>
      </c>
      <c r="C70" s="13" t="s">
        <v>27</v>
      </c>
      <c r="D70" s="27" t="s">
        <v>76</v>
      </c>
      <c r="E70" s="12"/>
      <c r="F70" s="12"/>
      <c r="G70" s="12"/>
      <c r="H70" s="12"/>
      <c r="I70" s="12"/>
      <c r="J70" s="12"/>
      <c r="K70" s="12"/>
      <c r="L70" s="12"/>
    </row>
    <row r="71" spans="1:12" x14ac:dyDescent="0.35">
      <c r="A71" s="13" t="s">
        <v>30</v>
      </c>
      <c r="B71" s="13" t="s">
        <v>76</v>
      </c>
      <c r="C71" s="13" t="s">
        <v>25</v>
      </c>
      <c r="D71" s="27" t="s">
        <v>75</v>
      </c>
      <c r="E71" s="12"/>
      <c r="F71" s="12"/>
      <c r="G71" s="12"/>
      <c r="H71" s="12"/>
      <c r="I71" s="12"/>
      <c r="J71" s="12"/>
      <c r="K71" s="12"/>
      <c r="L71" s="12"/>
    </row>
    <row r="72" spans="1:12" x14ac:dyDescent="0.35">
      <c r="A72" s="13" t="s">
        <v>30</v>
      </c>
      <c r="B72" s="13" t="s">
        <v>76</v>
      </c>
      <c r="C72" s="13" t="s">
        <v>75</v>
      </c>
      <c r="D72" s="27" t="s">
        <v>30</v>
      </c>
      <c r="E72" s="12"/>
      <c r="F72" s="12"/>
      <c r="G72" s="12"/>
      <c r="H72" s="12"/>
      <c r="I72" s="12"/>
      <c r="J72" s="12"/>
      <c r="K72" s="12"/>
      <c r="L72" s="12"/>
    </row>
    <row r="73" spans="1:12" x14ac:dyDescent="0.35">
      <c r="A73" s="13" t="s">
        <v>30</v>
      </c>
      <c r="B73" s="13" t="s">
        <v>76</v>
      </c>
      <c r="C73" s="13" t="s">
        <v>30</v>
      </c>
      <c r="D73" s="27" t="s">
        <v>30</v>
      </c>
      <c r="E73" s="12"/>
      <c r="F73" s="12"/>
      <c r="G73" s="12"/>
      <c r="H73" s="12"/>
      <c r="I73" s="12"/>
      <c r="J73" s="12"/>
      <c r="K73" s="12"/>
      <c r="L73" s="12"/>
    </row>
    <row r="74" spans="1:12" x14ac:dyDescent="0.35">
      <c r="A74" s="13" t="s">
        <v>30</v>
      </c>
      <c r="B74" s="13" t="s">
        <v>76</v>
      </c>
      <c r="C74" s="13" t="s">
        <v>76</v>
      </c>
      <c r="D74" s="27" t="s">
        <v>76</v>
      </c>
      <c r="E74" s="12"/>
      <c r="F74" s="12"/>
      <c r="G74" s="12"/>
      <c r="H74" s="12"/>
      <c r="I74" s="12"/>
      <c r="J74" s="12"/>
      <c r="K74" s="12"/>
      <c r="L74" s="12"/>
    </row>
    <row r="75" spans="1:12" x14ac:dyDescent="0.35">
      <c r="A75" s="13" t="s">
        <v>30</v>
      </c>
      <c r="B75" s="13" t="s">
        <v>76</v>
      </c>
      <c r="C75" s="13" t="s">
        <v>27</v>
      </c>
      <c r="D75" s="27" t="s">
        <v>76</v>
      </c>
      <c r="E75" s="12"/>
      <c r="F75" s="12"/>
      <c r="G75" s="12"/>
      <c r="H75" s="12"/>
      <c r="I75" s="12"/>
      <c r="J75" s="12"/>
      <c r="K75" s="12"/>
      <c r="L75" s="12"/>
    </row>
    <row r="76" spans="1:12" x14ac:dyDescent="0.35">
      <c r="A76" s="13" t="s">
        <v>30</v>
      </c>
      <c r="B76" s="13" t="s">
        <v>27</v>
      </c>
      <c r="C76" s="13" t="s">
        <v>25</v>
      </c>
      <c r="D76" s="27" t="s">
        <v>75</v>
      </c>
      <c r="E76" s="12"/>
      <c r="F76" s="12"/>
      <c r="G76" s="12"/>
      <c r="H76" s="12"/>
      <c r="I76" s="12"/>
      <c r="J76" s="12"/>
      <c r="K76" s="12"/>
      <c r="L76" s="12"/>
    </row>
    <row r="77" spans="1:12" x14ac:dyDescent="0.35">
      <c r="A77" s="13" t="s">
        <v>30</v>
      </c>
      <c r="B77" s="13" t="s">
        <v>27</v>
      </c>
      <c r="C77" s="13" t="s">
        <v>75</v>
      </c>
      <c r="D77" s="27" t="s">
        <v>30</v>
      </c>
      <c r="E77" s="12"/>
      <c r="F77" s="12"/>
      <c r="G77" s="12"/>
      <c r="H77" s="12"/>
      <c r="I77" s="12"/>
      <c r="J77" s="12"/>
      <c r="K77" s="12"/>
      <c r="L77" s="12"/>
    </row>
    <row r="78" spans="1:12" x14ac:dyDescent="0.35">
      <c r="A78" s="13" t="s">
        <v>30</v>
      </c>
      <c r="B78" s="13" t="s">
        <v>27</v>
      </c>
      <c r="C78" s="13" t="s">
        <v>30</v>
      </c>
      <c r="D78" s="27" t="s">
        <v>30</v>
      </c>
      <c r="E78" s="12"/>
      <c r="F78" s="12"/>
      <c r="G78" s="12"/>
      <c r="H78" s="12"/>
      <c r="I78" s="12"/>
      <c r="J78" s="12"/>
      <c r="K78" s="12"/>
      <c r="L78" s="12"/>
    </row>
    <row r="79" spans="1:12" x14ac:dyDescent="0.35">
      <c r="A79" s="13" t="s">
        <v>30</v>
      </c>
      <c r="B79" s="13" t="s">
        <v>27</v>
      </c>
      <c r="C79" s="13" t="s">
        <v>76</v>
      </c>
      <c r="D79" s="27" t="s">
        <v>76</v>
      </c>
      <c r="E79" s="12"/>
      <c r="F79" s="12"/>
      <c r="G79" s="12"/>
      <c r="H79" s="12"/>
      <c r="I79" s="12"/>
      <c r="J79" s="12"/>
      <c r="K79" s="12"/>
      <c r="L79" s="12"/>
    </row>
    <row r="80" spans="1:12" x14ac:dyDescent="0.35">
      <c r="A80" s="13" t="s">
        <v>30</v>
      </c>
      <c r="B80" s="13" t="s">
        <v>27</v>
      </c>
      <c r="C80" s="13" t="s">
        <v>27</v>
      </c>
      <c r="D80" s="27" t="s">
        <v>27</v>
      </c>
      <c r="E80" s="12"/>
      <c r="F80" s="12"/>
      <c r="G80" s="12"/>
      <c r="H80" s="12"/>
      <c r="I80" s="12"/>
      <c r="J80" s="12"/>
      <c r="K80" s="12"/>
      <c r="L80" s="12"/>
    </row>
    <row r="81" spans="1:12" x14ac:dyDescent="0.35">
      <c r="A81" s="13" t="s">
        <v>76</v>
      </c>
      <c r="B81" s="13" t="s">
        <v>25</v>
      </c>
      <c r="C81" s="13" t="s">
        <v>25</v>
      </c>
      <c r="D81" s="27" t="s">
        <v>25</v>
      </c>
      <c r="E81" s="12"/>
      <c r="F81" s="12"/>
      <c r="G81" s="12"/>
      <c r="H81" s="12"/>
      <c r="I81" s="12"/>
      <c r="J81" s="12"/>
      <c r="K81" s="12"/>
      <c r="L81" s="12"/>
    </row>
    <row r="82" spans="1:12" x14ac:dyDescent="0.35">
      <c r="A82" s="13" t="s">
        <v>76</v>
      </c>
      <c r="B82" s="13" t="s">
        <v>25</v>
      </c>
      <c r="C82" s="13" t="s">
        <v>75</v>
      </c>
      <c r="D82" s="27" t="s">
        <v>75</v>
      </c>
      <c r="E82" s="12"/>
      <c r="F82" s="12"/>
      <c r="G82" s="12"/>
      <c r="H82" s="12"/>
      <c r="I82" s="12"/>
      <c r="J82" s="12"/>
      <c r="K82" s="12"/>
      <c r="L82" s="12"/>
    </row>
    <row r="83" spans="1:12" x14ac:dyDescent="0.35">
      <c r="A83" s="13" t="s">
        <v>76</v>
      </c>
      <c r="B83" s="13" t="s">
        <v>25</v>
      </c>
      <c r="C83" s="13" t="s">
        <v>30</v>
      </c>
      <c r="D83" s="27" t="s">
        <v>75</v>
      </c>
      <c r="E83" s="12"/>
      <c r="F83" s="12"/>
      <c r="G83" s="12"/>
      <c r="H83" s="12"/>
      <c r="I83" s="12"/>
      <c r="J83" s="12"/>
      <c r="K83" s="12"/>
      <c r="L83" s="12"/>
    </row>
    <row r="84" spans="1:12" x14ac:dyDescent="0.35">
      <c r="A84" s="13" t="s">
        <v>76</v>
      </c>
      <c r="B84" s="13" t="s">
        <v>25</v>
      </c>
      <c r="C84" s="13" t="s">
        <v>76</v>
      </c>
      <c r="D84" s="27" t="s">
        <v>30</v>
      </c>
      <c r="E84" s="12"/>
      <c r="F84" s="12"/>
      <c r="G84" s="12"/>
      <c r="H84" s="12"/>
      <c r="I84" s="12"/>
      <c r="J84" s="12"/>
      <c r="K84" s="12"/>
      <c r="L84" s="12"/>
    </row>
    <row r="85" spans="1:12" x14ac:dyDescent="0.35">
      <c r="A85" s="13" t="s">
        <v>76</v>
      </c>
      <c r="B85" s="13" t="s">
        <v>25</v>
      </c>
      <c r="C85" s="13" t="s">
        <v>27</v>
      </c>
      <c r="D85" s="27" t="s">
        <v>30</v>
      </c>
      <c r="E85" s="12"/>
      <c r="F85" s="12"/>
      <c r="G85" s="12"/>
      <c r="H85" s="12"/>
      <c r="I85" s="12"/>
      <c r="J85" s="12"/>
      <c r="K85" s="12"/>
      <c r="L85" s="12"/>
    </row>
    <row r="86" spans="1:12" x14ac:dyDescent="0.35">
      <c r="A86" s="13" t="s">
        <v>76</v>
      </c>
      <c r="B86" s="13" t="s">
        <v>75</v>
      </c>
      <c r="C86" s="13" t="s">
        <v>25</v>
      </c>
      <c r="D86" s="27" t="s">
        <v>30</v>
      </c>
      <c r="E86" s="12"/>
      <c r="F86" s="12"/>
      <c r="G86" s="12"/>
      <c r="H86" s="12"/>
      <c r="I86" s="12"/>
      <c r="J86" s="12"/>
      <c r="K86" s="12"/>
      <c r="L86" s="12"/>
    </row>
    <row r="87" spans="1:12" x14ac:dyDescent="0.35">
      <c r="A87" s="13" t="s">
        <v>76</v>
      </c>
      <c r="B87" s="13" t="s">
        <v>75</v>
      </c>
      <c r="C87" s="13" t="s">
        <v>75</v>
      </c>
      <c r="D87" s="27" t="s">
        <v>75</v>
      </c>
      <c r="E87" s="12"/>
      <c r="F87" s="12"/>
      <c r="G87" s="12"/>
      <c r="H87" s="12"/>
      <c r="I87" s="12"/>
      <c r="J87" s="12"/>
      <c r="K87" s="12"/>
      <c r="L87" s="12"/>
    </row>
    <row r="88" spans="1:12" x14ac:dyDescent="0.35">
      <c r="A88" s="13" t="s">
        <v>76</v>
      </c>
      <c r="B88" s="13" t="s">
        <v>75</v>
      </c>
      <c r="C88" s="13" t="s">
        <v>30</v>
      </c>
      <c r="D88" s="27" t="s">
        <v>30</v>
      </c>
      <c r="E88" s="12"/>
      <c r="F88" s="12"/>
      <c r="G88" s="12"/>
      <c r="H88" s="12"/>
      <c r="I88" s="12"/>
      <c r="J88" s="12"/>
      <c r="K88" s="12"/>
      <c r="L88" s="12"/>
    </row>
    <row r="89" spans="1:12" x14ac:dyDescent="0.35">
      <c r="A89" s="13" t="s">
        <v>76</v>
      </c>
      <c r="B89" s="13" t="s">
        <v>75</v>
      </c>
      <c r="C89" s="13" t="s">
        <v>76</v>
      </c>
      <c r="D89" s="27" t="s">
        <v>76</v>
      </c>
      <c r="E89" s="12"/>
      <c r="F89" s="12"/>
      <c r="G89" s="12"/>
      <c r="H89" s="12"/>
      <c r="I89" s="12"/>
      <c r="J89" s="12"/>
      <c r="K89" s="12"/>
      <c r="L89" s="12"/>
    </row>
    <row r="90" spans="1:12" x14ac:dyDescent="0.35">
      <c r="A90" s="13" t="s">
        <v>76</v>
      </c>
      <c r="B90" s="13" t="s">
        <v>75</v>
      </c>
      <c r="C90" s="13" t="s">
        <v>27</v>
      </c>
      <c r="D90" s="27" t="s">
        <v>30</v>
      </c>
      <c r="E90" s="12"/>
      <c r="F90" s="12"/>
      <c r="G90" s="12"/>
      <c r="H90" s="12"/>
      <c r="I90" s="12"/>
      <c r="J90" s="12"/>
      <c r="K90" s="12"/>
      <c r="L90" s="12"/>
    </row>
    <row r="91" spans="1:12" x14ac:dyDescent="0.35">
      <c r="A91" s="13" t="s">
        <v>76</v>
      </c>
      <c r="B91" s="13" t="s">
        <v>30</v>
      </c>
      <c r="C91" s="13" t="s">
        <v>25</v>
      </c>
      <c r="D91" s="27" t="s">
        <v>91</v>
      </c>
      <c r="E91" s="12"/>
      <c r="F91" s="12"/>
      <c r="G91" s="12"/>
      <c r="H91" s="12"/>
      <c r="I91" s="12"/>
      <c r="J91" s="12"/>
      <c r="K91" s="12"/>
      <c r="L91" s="12"/>
    </row>
    <row r="92" spans="1:12" x14ac:dyDescent="0.35">
      <c r="A92" s="13" t="s">
        <v>76</v>
      </c>
      <c r="B92" s="13" t="s">
        <v>30</v>
      </c>
      <c r="C92" s="13" t="s">
        <v>75</v>
      </c>
      <c r="D92" s="27" t="s">
        <v>30</v>
      </c>
      <c r="E92" s="12"/>
      <c r="F92" s="12"/>
      <c r="G92" s="12"/>
      <c r="H92" s="12"/>
      <c r="I92" s="12"/>
      <c r="J92" s="12"/>
      <c r="K92" s="12"/>
      <c r="L92" s="12"/>
    </row>
    <row r="93" spans="1:12" x14ac:dyDescent="0.35">
      <c r="A93" s="13" t="s">
        <v>76</v>
      </c>
      <c r="B93" s="13" t="s">
        <v>30</v>
      </c>
      <c r="C93" s="13" t="s">
        <v>30</v>
      </c>
      <c r="D93" s="27" t="s">
        <v>30</v>
      </c>
      <c r="E93" s="12"/>
      <c r="F93" s="12"/>
      <c r="G93" s="12"/>
      <c r="H93" s="12"/>
      <c r="I93" s="12"/>
      <c r="J93" s="12"/>
      <c r="K93" s="12"/>
      <c r="L93" s="12"/>
    </row>
    <row r="94" spans="1:12" x14ac:dyDescent="0.35">
      <c r="A94" s="13" t="s">
        <v>76</v>
      </c>
      <c r="B94" s="13" t="s">
        <v>30</v>
      </c>
      <c r="C94" s="13" t="s">
        <v>76</v>
      </c>
      <c r="D94" s="27" t="s">
        <v>76</v>
      </c>
      <c r="E94" s="12"/>
      <c r="F94" s="12"/>
      <c r="G94" s="12"/>
      <c r="H94" s="12"/>
      <c r="I94" s="12"/>
      <c r="J94" s="12"/>
      <c r="K94" s="12"/>
      <c r="L94" s="12"/>
    </row>
    <row r="95" spans="1:12" x14ac:dyDescent="0.35">
      <c r="A95" s="13" t="s">
        <v>76</v>
      </c>
      <c r="B95" s="13" t="s">
        <v>30</v>
      </c>
      <c r="C95" s="13" t="s">
        <v>27</v>
      </c>
      <c r="D95" s="27" t="s">
        <v>76</v>
      </c>
      <c r="E95" s="12"/>
      <c r="F95" s="12"/>
      <c r="G95" s="12"/>
      <c r="H95" s="12"/>
      <c r="I95" s="12"/>
      <c r="J95" s="12"/>
      <c r="K95" s="12"/>
      <c r="L95" s="12"/>
    </row>
    <row r="96" spans="1:12" x14ac:dyDescent="0.35">
      <c r="A96" s="13" t="s">
        <v>76</v>
      </c>
      <c r="B96" s="13" t="s">
        <v>76</v>
      </c>
      <c r="C96" s="13" t="s">
        <v>25</v>
      </c>
      <c r="D96" s="27" t="s">
        <v>75</v>
      </c>
      <c r="E96" s="12"/>
      <c r="F96" s="12"/>
      <c r="G96" s="12"/>
      <c r="H96" s="12"/>
      <c r="I96" s="12"/>
      <c r="J96" s="12"/>
      <c r="K96" s="12"/>
      <c r="L96" s="12"/>
    </row>
    <row r="97" spans="1:12" x14ac:dyDescent="0.35">
      <c r="A97" s="13" t="s">
        <v>76</v>
      </c>
      <c r="B97" s="13" t="s">
        <v>76</v>
      </c>
      <c r="C97" s="13" t="s">
        <v>75</v>
      </c>
      <c r="D97" s="27" t="s">
        <v>30</v>
      </c>
      <c r="E97" s="12"/>
      <c r="F97" s="12"/>
      <c r="G97" s="12"/>
      <c r="H97" s="12"/>
      <c r="I97" s="12"/>
      <c r="J97" s="12"/>
      <c r="K97" s="12"/>
      <c r="L97" s="12"/>
    </row>
    <row r="98" spans="1:12" x14ac:dyDescent="0.35">
      <c r="A98" s="13" t="s">
        <v>76</v>
      </c>
      <c r="B98" s="13" t="s">
        <v>76</v>
      </c>
      <c r="C98" s="13" t="s">
        <v>30</v>
      </c>
      <c r="D98" s="27" t="s">
        <v>76</v>
      </c>
      <c r="E98" s="12"/>
      <c r="F98" s="12"/>
      <c r="G98" s="12"/>
      <c r="H98" s="12"/>
      <c r="I98" s="12"/>
      <c r="J98" s="12"/>
      <c r="K98" s="12"/>
      <c r="L98" s="12"/>
    </row>
    <row r="99" spans="1:12" x14ac:dyDescent="0.35">
      <c r="A99" s="13" t="s">
        <v>76</v>
      </c>
      <c r="B99" s="13" t="s">
        <v>76</v>
      </c>
      <c r="C99" s="13" t="s">
        <v>76</v>
      </c>
      <c r="D99" s="27" t="s">
        <v>76</v>
      </c>
      <c r="E99" s="12"/>
      <c r="F99" s="12"/>
      <c r="G99" s="12"/>
      <c r="H99" s="12"/>
      <c r="I99" s="12"/>
      <c r="J99" s="12"/>
      <c r="K99" s="12"/>
      <c r="L99" s="12"/>
    </row>
    <row r="100" spans="1:12" x14ac:dyDescent="0.35">
      <c r="A100" s="13" t="s">
        <v>76</v>
      </c>
      <c r="B100" s="13" t="s">
        <v>76</v>
      </c>
      <c r="C100" s="13" t="s">
        <v>27</v>
      </c>
      <c r="D100" s="27" t="s">
        <v>76</v>
      </c>
      <c r="E100" s="12"/>
      <c r="F100" s="12"/>
      <c r="G100" s="12"/>
      <c r="H100" s="12"/>
      <c r="I100" s="12"/>
      <c r="J100" s="12"/>
      <c r="K100" s="12"/>
      <c r="L100" s="12"/>
    </row>
    <row r="101" spans="1:12" x14ac:dyDescent="0.35">
      <c r="A101" s="13" t="s">
        <v>76</v>
      </c>
      <c r="B101" s="13" t="s">
        <v>27</v>
      </c>
      <c r="C101" s="13" t="s">
        <v>25</v>
      </c>
      <c r="D101" s="27" t="s">
        <v>75</v>
      </c>
      <c r="E101" s="12"/>
      <c r="F101" s="12"/>
      <c r="G101" s="12"/>
      <c r="H101" s="12"/>
      <c r="I101" s="12"/>
      <c r="J101" s="12"/>
      <c r="K101" s="12"/>
      <c r="L101" s="12"/>
    </row>
    <row r="102" spans="1:12" x14ac:dyDescent="0.35">
      <c r="A102" s="13" t="s">
        <v>76</v>
      </c>
      <c r="B102" s="13" t="s">
        <v>27</v>
      </c>
      <c r="C102" s="13" t="s">
        <v>75</v>
      </c>
      <c r="D102" s="27" t="s">
        <v>30</v>
      </c>
      <c r="E102" s="12"/>
      <c r="F102" s="12"/>
      <c r="G102" s="12"/>
      <c r="H102" s="12"/>
      <c r="I102" s="12"/>
      <c r="J102" s="12"/>
      <c r="K102" s="12"/>
      <c r="L102" s="12"/>
    </row>
    <row r="103" spans="1:12" x14ac:dyDescent="0.35">
      <c r="A103" s="13" t="s">
        <v>76</v>
      </c>
      <c r="B103" s="13" t="s">
        <v>27</v>
      </c>
      <c r="C103" s="13" t="s">
        <v>30</v>
      </c>
      <c r="D103" s="27" t="s">
        <v>30</v>
      </c>
      <c r="E103" s="12"/>
      <c r="F103" s="12"/>
      <c r="G103" s="12"/>
      <c r="H103" s="12"/>
      <c r="I103" s="12"/>
      <c r="J103" s="12"/>
      <c r="K103" s="12"/>
      <c r="L103" s="12"/>
    </row>
    <row r="104" spans="1:12" x14ac:dyDescent="0.35">
      <c r="A104" s="13" t="s">
        <v>76</v>
      </c>
      <c r="B104" s="13" t="s">
        <v>27</v>
      </c>
      <c r="C104" s="13" t="s">
        <v>76</v>
      </c>
      <c r="D104" s="27" t="s">
        <v>76</v>
      </c>
      <c r="E104" s="12"/>
      <c r="F104" s="12"/>
      <c r="G104" s="12"/>
      <c r="H104" s="12"/>
      <c r="I104" s="12"/>
      <c r="J104" s="12"/>
      <c r="K104" s="12"/>
      <c r="L104" s="12"/>
    </row>
    <row r="105" spans="1:12" x14ac:dyDescent="0.35">
      <c r="A105" s="13" t="s">
        <v>76</v>
      </c>
      <c r="B105" s="13" t="s">
        <v>27</v>
      </c>
      <c r="C105" s="13" t="s">
        <v>27</v>
      </c>
      <c r="D105" s="27" t="s">
        <v>76</v>
      </c>
      <c r="E105" s="12"/>
      <c r="F105" s="12"/>
      <c r="G105" s="12"/>
      <c r="H105" s="12"/>
      <c r="I105" s="12"/>
      <c r="J105" s="12"/>
      <c r="K105" s="12"/>
      <c r="L105" s="12"/>
    </row>
    <row r="106" spans="1:12" x14ac:dyDescent="0.35">
      <c r="A106" s="13" t="s">
        <v>27</v>
      </c>
      <c r="B106" s="13" t="s">
        <v>25</v>
      </c>
      <c r="C106" s="13" t="s">
        <v>25</v>
      </c>
      <c r="D106" s="27" t="s">
        <v>25</v>
      </c>
      <c r="E106" s="12"/>
      <c r="F106" s="12"/>
      <c r="G106" s="12"/>
      <c r="H106" s="12"/>
      <c r="I106" s="12"/>
      <c r="J106" s="12"/>
      <c r="K106" s="12"/>
      <c r="L106" s="12"/>
    </row>
    <row r="107" spans="1:12" x14ac:dyDescent="0.35">
      <c r="A107" s="13" t="s">
        <v>27</v>
      </c>
      <c r="B107" s="13" t="s">
        <v>25</v>
      </c>
      <c r="C107" s="13" t="s">
        <v>75</v>
      </c>
      <c r="D107" s="27" t="s">
        <v>75</v>
      </c>
      <c r="E107" s="12"/>
      <c r="F107" s="12"/>
      <c r="G107" s="12"/>
      <c r="H107" s="12"/>
      <c r="I107" s="12"/>
      <c r="J107" s="12"/>
      <c r="K107" s="12"/>
      <c r="L107" s="12"/>
    </row>
    <row r="108" spans="1:12" x14ac:dyDescent="0.35">
      <c r="A108" s="13" t="s">
        <v>27</v>
      </c>
      <c r="B108" s="13" t="s">
        <v>25</v>
      </c>
      <c r="C108" s="13" t="s">
        <v>30</v>
      </c>
      <c r="D108" s="27" t="s">
        <v>75</v>
      </c>
      <c r="E108" s="12"/>
      <c r="F108" s="12"/>
      <c r="G108" s="12"/>
      <c r="H108" s="12"/>
      <c r="I108" s="12"/>
      <c r="J108" s="12"/>
      <c r="K108" s="12"/>
      <c r="L108" s="12"/>
    </row>
    <row r="109" spans="1:12" x14ac:dyDescent="0.35">
      <c r="A109" s="13" t="s">
        <v>27</v>
      </c>
      <c r="B109" s="13" t="s">
        <v>25</v>
      </c>
      <c r="C109" s="13" t="s">
        <v>76</v>
      </c>
      <c r="D109" s="27" t="s">
        <v>30</v>
      </c>
      <c r="E109" s="12"/>
      <c r="F109" s="12"/>
      <c r="G109" s="12"/>
      <c r="H109" s="12"/>
      <c r="I109" s="12"/>
      <c r="J109" s="12"/>
      <c r="K109" s="12"/>
      <c r="L109" s="12"/>
    </row>
    <row r="110" spans="1:12" x14ac:dyDescent="0.35">
      <c r="A110" s="13" t="s">
        <v>27</v>
      </c>
      <c r="B110" s="13" t="s">
        <v>25</v>
      </c>
      <c r="C110" s="13" t="s">
        <v>27</v>
      </c>
      <c r="D110" s="27" t="s">
        <v>30</v>
      </c>
      <c r="E110" s="12"/>
      <c r="F110" s="12"/>
      <c r="G110" s="12"/>
      <c r="H110" s="12"/>
      <c r="I110" s="12"/>
      <c r="J110" s="12"/>
      <c r="K110" s="12"/>
      <c r="L110" s="12"/>
    </row>
    <row r="111" spans="1:12" x14ac:dyDescent="0.35">
      <c r="A111" s="13" t="s">
        <v>27</v>
      </c>
      <c r="B111" s="13" t="s">
        <v>75</v>
      </c>
      <c r="C111" s="13" t="s">
        <v>25</v>
      </c>
      <c r="D111" s="27" t="s">
        <v>75</v>
      </c>
      <c r="E111" s="12"/>
      <c r="F111" s="12"/>
      <c r="G111" s="12"/>
      <c r="H111" s="12"/>
      <c r="I111" s="12"/>
      <c r="J111" s="12"/>
      <c r="K111" s="12"/>
      <c r="L111" s="12"/>
    </row>
    <row r="112" spans="1:12" x14ac:dyDescent="0.35">
      <c r="A112" s="13" t="s">
        <v>27</v>
      </c>
      <c r="B112" s="13" t="s">
        <v>75</v>
      </c>
      <c r="C112" s="13" t="s">
        <v>75</v>
      </c>
      <c r="D112" s="27" t="s">
        <v>75</v>
      </c>
      <c r="E112" s="12"/>
      <c r="F112" s="12"/>
      <c r="G112" s="12"/>
      <c r="H112" s="12"/>
      <c r="I112" s="12"/>
      <c r="J112" s="12"/>
      <c r="K112" s="12"/>
      <c r="L112" s="12"/>
    </row>
    <row r="113" spans="1:12" x14ac:dyDescent="0.35">
      <c r="A113" s="13" t="s">
        <v>27</v>
      </c>
      <c r="B113" s="13" t="s">
        <v>75</v>
      </c>
      <c r="C113" s="13" t="s">
        <v>30</v>
      </c>
      <c r="D113" s="27" t="s">
        <v>30</v>
      </c>
      <c r="E113" s="12"/>
      <c r="F113" s="12"/>
      <c r="G113" s="12"/>
      <c r="H113" s="12"/>
      <c r="I113" s="12"/>
      <c r="J113" s="12"/>
      <c r="K113" s="12"/>
      <c r="L113" s="12"/>
    </row>
    <row r="114" spans="1:12" x14ac:dyDescent="0.35">
      <c r="A114" s="13" t="s">
        <v>27</v>
      </c>
      <c r="B114" s="13" t="s">
        <v>75</v>
      </c>
      <c r="C114" s="13" t="s">
        <v>76</v>
      </c>
      <c r="D114" s="27" t="s">
        <v>76</v>
      </c>
      <c r="E114" s="12"/>
      <c r="F114" s="12"/>
      <c r="G114" s="12"/>
      <c r="H114" s="12"/>
      <c r="I114" s="12"/>
      <c r="J114" s="12"/>
      <c r="K114" s="12"/>
      <c r="L114" s="12"/>
    </row>
    <row r="115" spans="1:12" x14ac:dyDescent="0.35">
      <c r="A115" s="13" t="s">
        <v>27</v>
      </c>
      <c r="B115" s="13" t="s">
        <v>75</v>
      </c>
      <c r="C115" s="13" t="s">
        <v>27</v>
      </c>
      <c r="D115" s="27" t="s">
        <v>76</v>
      </c>
      <c r="E115" s="12"/>
      <c r="F115" s="12"/>
      <c r="G115" s="12"/>
      <c r="H115" s="12"/>
      <c r="I115" s="12"/>
      <c r="J115" s="12"/>
      <c r="K115" s="12"/>
      <c r="L115" s="12"/>
    </row>
    <row r="116" spans="1:12" x14ac:dyDescent="0.35">
      <c r="A116" s="13" t="s">
        <v>27</v>
      </c>
      <c r="B116" s="13" t="s">
        <v>30</v>
      </c>
      <c r="C116" s="13" t="s">
        <v>25</v>
      </c>
      <c r="D116" s="27" t="s">
        <v>75</v>
      </c>
      <c r="E116" s="12"/>
      <c r="F116" s="12"/>
      <c r="G116" s="12"/>
      <c r="H116" s="12"/>
      <c r="I116" s="12"/>
      <c r="J116" s="12"/>
      <c r="K116" s="12"/>
      <c r="L116" s="12"/>
    </row>
    <row r="117" spans="1:12" x14ac:dyDescent="0.35">
      <c r="A117" s="13" t="s">
        <v>27</v>
      </c>
      <c r="B117" s="13" t="s">
        <v>30</v>
      </c>
      <c r="C117" s="13" t="s">
        <v>75</v>
      </c>
      <c r="D117" s="27" t="s">
        <v>30</v>
      </c>
      <c r="E117" s="12"/>
      <c r="F117" s="12"/>
      <c r="G117" s="12"/>
      <c r="H117" s="12"/>
      <c r="I117" s="12"/>
      <c r="J117" s="12"/>
      <c r="K117" s="12"/>
      <c r="L117" s="12"/>
    </row>
    <row r="118" spans="1:12" x14ac:dyDescent="0.35">
      <c r="A118" s="13" t="s">
        <v>27</v>
      </c>
      <c r="B118" s="13" t="s">
        <v>30</v>
      </c>
      <c r="C118" s="13" t="s">
        <v>30</v>
      </c>
      <c r="D118" s="27" t="s">
        <v>30</v>
      </c>
      <c r="E118" s="12"/>
      <c r="F118" s="12"/>
      <c r="G118" s="12"/>
      <c r="H118" s="12"/>
      <c r="I118" s="12"/>
      <c r="J118" s="12"/>
      <c r="K118" s="12"/>
      <c r="L118" s="12"/>
    </row>
    <row r="119" spans="1:12" x14ac:dyDescent="0.35">
      <c r="A119" s="13" t="s">
        <v>27</v>
      </c>
      <c r="B119" s="13" t="s">
        <v>30</v>
      </c>
      <c r="C119" s="13" t="s">
        <v>76</v>
      </c>
      <c r="D119" s="27" t="s">
        <v>76</v>
      </c>
      <c r="E119" s="12"/>
      <c r="F119" s="12"/>
      <c r="G119" s="12"/>
      <c r="H119" s="12"/>
      <c r="I119" s="12"/>
      <c r="J119" s="12"/>
      <c r="K119" s="12"/>
      <c r="L119" s="12"/>
    </row>
    <row r="120" spans="1:12" x14ac:dyDescent="0.35">
      <c r="A120" s="13" t="s">
        <v>27</v>
      </c>
      <c r="B120" s="13" t="s">
        <v>30</v>
      </c>
      <c r="C120" s="13" t="s">
        <v>27</v>
      </c>
      <c r="D120" s="27" t="s">
        <v>76</v>
      </c>
      <c r="E120" s="12"/>
      <c r="F120" s="12"/>
      <c r="G120" s="12"/>
      <c r="H120" s="12"/>
      <c r="I120" s="12"/>
      <c r="J120" s="12"/>
      <c r="K120" s="12"/>
      <c r="L120" s="12"/>
    </row>
    <row r="121" spans="1:12" x14ac:dyDescent="0.35">
      <c r="A121" s="13" t="s">
        <v>27</v>
      </c>
      <c r="B121" s="13" t="s">
        <v>76</v>
      </c>
      <c r="C121" s="13" t="s">
        <v>25</v>
      </c>
      <c r="D121" s="27" t="s">
        <v>75</v>
      </c>
      <c r="E121" s="12"/>
      <c r="F121" s="12"/>
      <c r="G121" s="12"/>
      <c r="H121" s="12"/>
      <c r="I121" s="12"/>
      <c r="J121" s="12"/>
      <c r="K121" s="12"/>
      <c r="L121" s="12"/>
    </row>
    <row r="122" spans="1:12" x14ac:dyDescent="0.35">
      <c r="A122" s="13" t="s">
        <v>27</v>
      </c>
      <c r="B122" s="13" t="s">
        <v>76</v>
      </c>
      <c r="C122" s="13" t="s">
        <v>75</v>
      </c>
      <c r="D122" s="27" t="s">
        <v>30</v>
      </c>
      <c r="E122" s="12"/>
      <c r="F122" s="12"/>
      <c r="G122" s="12"/>
      <c r="H122" s="12"/>
      <c r="I122" s="12"/>
      <c r="J122" s="12"/>
      <c r="K122" s="12"/>
      <c r="L122" s="12"/>
    </row>
    <row r="123" spans="1:12" x14ac:dyDescent="0.35">
      <c r="A123" s="13" t="s">
        <v>27</v>
      </c>
      <c r="B123" s="13" t="s">
        <v>76</v>
      </c>
      <c r="C123" s="13" t="s">
        <v>30</v>
      </c>
      <c r="D123" s="27" t="s">
        <v>30</v>
      </c>
      <c r="E123" s="12"/>
      <c r="F123" s="12"/>
      <c r="G123" s="12"/>
      <c r="H123" s="12"/>
      <c r="I123" s="12"/>
      <c r="J123" s="12"/>
      <c r="K123" s="12"/>
      <c r="L123" s="12"/>
    </row>
    <row r="124" spans="1:12" x14ac:dyDescent="0.35">
      <c r="A124" s="13" t="s">
        <v>27</v>
      </c>
      <c r="B124" s="13" t="s">
        <v>76</v>
      </c>
      <c r="C124" s="13" t="s">
        <v>76</v>
      </c>
      <c r="D124" s="27" t="s">
        <v>76</v>
      </c>
      <c r="E124" s="12"/>
      <c r="F124" s="12"/>
      <c r="G124" s="12"/>
      <c r="H124" s="12"/>
      <c r="I124" s="12"/>
      <c r="J124" s="12"/>
      <c r="K124" s="12"/>
      <c r="L124" s="12"/>
    </row>
    <row r="125" spans="1:12" x14ac:dyDescent="0.35">
      <c r="A125" s="13" t="s">
        <v>27</v>
      </c>
      <c r="B125" s="13" t="s">
        <v>76</v>
      </c>
      <c r="C125" s="13" t="s">
        <v>27</v>
      </c>
      <c r="D125" s="27" t="s">
        <v>76</v>
      </c>
      <c r="E125" s="12"/>
      <c r="F125" s="12"/>
      <c r="G125" s="12"/>
      <c r="H125" s="12"/>
      <c r="I125" s="12"/>
      <c r="J125" s="12"/>
      <c r="K125" s="12"/>
      <c r="L125" s="12"/>
    </row>
    <row r="126" spans="1:12" x14ac:dyDescent="0.35">
      <c r="A126" s="13" t="s">
        <v>27</v>
      </c>
      <c r="B126" s="13" t="s">
        <v>27</v>
      </c>
      <c r="C126" s="13" t="s">
        <v>25</v>
      </c>
      <c r="D126" s="27" t="s">
        <v>30</v>
      </c>
      <c r="E126" s="12"/>
      <c r="F126" s="12"/>
      <c r="G126" s="12"/>
      <c r="H126" s="12"/>
      <c r="I126" s="12"/>
      <c r="J126" s="12"/>
      <c r="K126" s="12"/>
      <c r="L126" s="12"/>
    </row>
    <row r="127" spans="1:12" x14ac:dyDescent="0.35">
      <c r="A127" s="13" t="s">
        <v>27</v>
      </c>
      <c r="B127" s="13" t="s">
        <v>27</v>
      </c>
      <c r="C127" s="13" t="s">
        <v>75</v>
      </c>
      <c r="D127" s="27" t="s">
        <v>30</v>
      </c>
      <c r="E127" s="12"/>
      <c r="F127" s="12"/>
      <c r="G127" s="12"/>
      <c r="H127" s="12"/>
      <c r="I127" s="12"/>
      <c r="J127" s="12"/>
      <c r="K127" s="12"/>
      <c r="L127" s="12"/>
    </row>
    <row r="128" spans="1:12" x14ac:dyDescent="0.35">
      <c r="A128" s="13" t="s">
        <v>27</v>
      </c>
      <c r="B128" s="13" t="s">
        <v>27</v>
      </c>
      <c r="C128" s="13" t="s">
        <v>30</v>
      </c>
      <c r="D128" s="27" t="s">
        <v>76</v>
      </c>
      <c r="E128" s="12"/>
      <c r="F128" s="12"/>
      <c r="G128" s="12"/>
      <c r="H128" s="12"/>
      <c r="I128" s="12"/>
      <c r="J128" s="12"/>
      <c r="K128" s="12"/>
      <c r="L128" s="12"/>
    </row>
    <row r="129" spans="1:12" x14ac:dyDescent="0.35">
      <c r="A129" s="13" t="s">
        <v>27</v>
      </c>
      <c r="B129" s="13" t="s">
        <v>27</v>
      </c>
      <c r="C129" s="13" t="s">
        <v>76</v>
      </c>
      <c r="D129" s="27" t="s">
        <v>76</v>
      </c>
      <c r="E129" s="12"/>
      <c r="F129" s="12"/>
      <c r="G129" s="12"/>
      <c r="H129" s="12"/>
      <c r="I129" s="12"/>
      <c r="J129" s="12"/>
      <c r="K129" s="12"/>
      <c r="L129" s="12"/>
    </row>
    <row r="130" spans="1:12" x14ac:dyDescent="0.35">
      <c r="A130" s="13" t="s">
        <v>27</v>
      </c>
      <c r="B130" s="13" t="s">
        <v>27</v>
      </c>
      <c r="C130" s="13" t="s">
        <v>27</v>
      </c>
      <c r="D130" s="27" t="s">
        <v>27</v>
      </c>
      <c r="E130" s="12"/>
      <c r="F130" s="12"/>
      <c r="G130" s="12"/>
      <c r="H130" s="12"/>
      <c r="I130" s="12"/>
      <c r="J130" s="12"/>
      <c r="K130" s="12"/>
      <c r="L130" s="12"/>
    </row>
  </sheetData>
  <mergeCells count="12">
    <mergeCell ref="A3:L3"/>
    <mergeCell ref="O3:Y3"/>
    <mergeCell ref="A4:D4"/>
    <mergeCell ref="F4:H4"/>
    <mergeCell ref="J4:L4"/>
    <mergeCell ref="O4:S4"/>
    <mergeCell ref="U4:Y4"/>
    <mergeCell ref="O16:S16"/>
    <mergeCell ref="U16:Y16"/>
    <mergeCell ref="O28:S28"/>
    <mergeCell ref="U28:Y28"/>
    <mergeCell ref="O40:S4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A95-D217-4940-8FA1-33ECD5A26296}">
  <sheetPr codeName="Sheet91">
    <pageSetUpPr fitToPage="1"/>
  </sheetPr>
  <dimension ref="A1:K39"/>
  <sheetViews>
    <sheetView tabSelected="1" view="pageBreakPreview" zoomScale="70" zoomScaleNormal="70" zoomScaleSheetLayoutView="70" workbookViewId="0">
      <selection activeCell="C8" sqref="C8"/>
    </sheetView>
  </sheetViews>
  <sheetFormatPr defaultColWidth="9.1796875" defaultRowHeight="14.5" x14ac:dyDescent="0.35"/>
  <cols>
    <col min="1" max="1" width="9.1796875" style="29"/>
    <col min="2" max="2" width="30.26953125" style="31" bestFit="1" customWidth="1"/>
    <col min="3" max="3" width="57" style="29" customWidth="1"/>
    <col min="4" max="5" width="6.81640625" style="30" customWidth="1"/>
    <col min="6" max="10" width="6.81640625" style="29" customWidth="1"/>
    <col min="11" max="11" width="57" style="29" customWidth="1"/>
    <col min="12" max="16384" width="9.1796875" style="29"/>
  </cols>
  <sheetData>
    <row r="1" spans="1:11" x14ac:dyDescent="0.35">
      <c r="K1" s="45"/>
    </row>
    <row r="2" spans="1:11" ht="25.5" customHeight="1" thickBot="1" x14ac:dyDescent="0.4">
      <c r="K2" s="45"/>
    </row>
    <row r="3" spans="1:11" s="319" customFormat="1" ht="26.5" thickBot="1" x14ac:dyDescent="0.4">
      <c r="A3" s="378" t="s">
        <v>92</v>
      </c>
      <c r="B3" s="378"/>
      <c r="C3" s="378"/>
      <c r="D3" s="378"/>
      <c r="E3" s="44"/>
      <c r="G3" s="379" t="s">
        <v>93</v>
      </c>
      <c r="H3" s="380"/>
      <c r="I3" s="380"/>
      <c r="J3" s="380"/>
      <c r="K3" s="381"/>
    </row>
    <row r="4" spans="1:11" s="319" customFormat="1" ht="26.5" thickBot="1" x14ac:dyDescent="0.4">
      <c r="D4" s="44"/>
      <c r="E4" s="44"/>
      <c r="G4" s="379" t="s">
        <v>94</v>
      </c>
      <c r="H4" s="380"/>
      <c r="I4" s="380"/>
      <c r="J4" s="380"/>
      <c r="K4" s="381"/>
    </row>
    <row r="5" spans="1:11" s="319" customFormat="1" ht="16.5" customHeight="1" x14ac:dyDescent="0.35">
      <c r="D5" s="44"/>
      <c r="E5" s="44"/>
    </row>
    <row r="6" spans="1:11" s="319" customFormat="1" ht="19.5" customHeight="1" x14ac:dyDescent="0.35">
      <c r="A6" s="382" t="s">
        <v>95</v>
      </c>
      <c r="B6" s="382"/>
      <c r="C6" s="382"/>
      <c r="D6" s="382"/>
      <c r="E6" s="382"/>
      <c r="F6" s="382"/>
      <c r="G6" s="382"/>
      <c r="H6" s="382"/>
      <c r="I6" s="382"/>
      <c r="J6" s="382"/>
      <c r="K6" s="382"/>
    </row>
    <row r="7" spans="1:11" ht="9" customHeight="1" x14ac:dyDescent="0.35"/>
    <row r="8" spans="1:11" ht="30" customHeight="1" x14ac:dyDescent="0.35">
      <c r="A8" s="375" t="s">
        <v>96</v>
      </c>
      <c r="B8" s="375"/>
      <c r="C8" s="43"/>
      <c r="D8" s="375" t="s">
        <v>97</v>
      </c>
      <c r="E8" s="375"/>
      <c r="F8" s="375"/>
      <c r="G8" s="375"/>
      <c r="H8" s="375"/>
      <c r="I8" s="41"/>
      <c r="J8" s="41"/>
      <c r="K8" s="41"/>
    </row>
    <row r="9" spans="1:11" ht="30" customHeight="1" x14ac:dyDescent="0.35">
      <c r="A9" s="375" t="s">
        <v>98</v>
      </c>
      <c r="B9" s="375"/>
      <c r="C9" s="43"/>
      <c r="D9" s="375" t="s">
        <v>99</v>
      </c>
      <c r="E9" s="375"/>
      <c r="F9" s="375"/>
      <c r="G9" s="375"/>
      <c r="H9" s="375"/>
      <c r="I9" s="41"/>
      <c r="J9" s="41"/>
      <c r="K9" s="41"/>
    </row>
    <row r="10" spans="1:11" ht="30" customHeight="1" x14ac:dyDescent="0.35">
      <c r="A10" s="375" t="s">
        <v>100</v>
      </c>
      <c r="B10" s="375"/>
      <c r="C10" s="42"/>
      <c r="D10" s="375" t="s">
        <v>101</v>
      </c>
      <c r="E10" s="375"/>
      <c r="F10" s="375"/>
      <c r="G10" s="375"/>
      <c r="H10" s="375"/>
      <c r="I10" s="41"/>
      <c r="J10" s="41"/>
      <c r="K10" s="41"/>
    </row>
    <row r="11" spans="1:11" ht="18.75" customHeight="1" x14ac:dyDescent="0.35"/>
    <row r="12" spans="1:11" ht="21.5" thickBot="1" x14ac:dyDescent="0.4">
      <c r="A12" s="40" t="s">
        <v>102</v>
      </c>
    </row>
    <row r="13" spans="1:11" ht="15" customHeight="1" x14ac:dyDescent="0.35">
      <c r="A13" s="348" t="s">
        <v>103</v>
      </c>
      <c r="B13" s="352"/>
      <c r="C13" s="376" t="s">
        <v>104</v>
      </c>
      <c r="D13" s="376" t="s">
        <v>105</v>
      </c>
      <c r="E13" s="376"/>
      <c r="F13" s="376"/>
      <c r="G13" s="376"/>
      <c r="H13" s="376"/>
      <c r="I13" s="376"/>
      <c r="J13" s="376"/>
      <c r="K13" s="363" t="s">
        <v>106</v>
      </c>
    </row>
    <row r="14" spans="1:11" x14ac:dyDescent="0.35">
      <c r="A14" s="349"/>
      <c r="B14" s="354"/>
      <c r="C14" s="377"/>
      <c r="D14" s="318" t="s">
        <v>107</v>
      </c>
      <c r="E14" s="317" t="s">
        <v>25</v>
      </c>
      <c r="F14" s="317" t="s">
        <v>75</v>
      </c>
      <c r="G14" s="317" t="s">
        <v>30</v>
      </c>
      <c r="H14" s="318" t="s">
        <v>76</v>
      </c>
      <c r="I14" s="317" t="s">
        <v>27</v>
      </c>
      <c r="J14" s="317" t="s">
        <v>108</v>
      </c>
      <c r="K14" s="364"/>
    </row>
    <row r="15" spans="1:11" x14ac:dyDescent="0.35">
      <c r="A15" s="365" t="s">
        <v>109</v>
      </c>
      <c r="B15" s="356"/>
      <c r="C15" s="356"/>
      <c r="D15" s="356"/>
      <c r="E15" s="356"/>
      <c r="F15" s="356"/>
      <c r="G15" s="356"/>
      <c r="H15" s="356"/>
      <c r="I15" s="356"/>
      <c r="J15" s="356"/>
      <c r="K15" s="357"/>
    </row>
    <row r="16" spans="1:11" ht="59.25" customHeight="1" x14ac:dyDescent="0.35">
      <c r="A16" s="316">
        <v>1</v>
      </c>
      <c r="B16" s="38" t="s">
        <v>81</v>
      </c>
      <c r="C16" s="38" t="s">
        <v>110</v>
      </c>
      <c r="D16" s="318"/>
      <c r="E16" s="317"/>
      <c r="F16" s="317"/>
      <c r="G16" s="317"/>
      <c r="H16" s="318"/>
      <c r="I16" s="317"/>
      <c r="J16" s="317"/>
      <c r="K16" s="39" t="s">
        <v>111</v>
      </c>
    </row>
    <row r="17" spans="1:11" ht="61.5" customHeight="1" x14ac:dyDescent="0.35">
      <c r="A17" s="316">
        <v>2</v>
      </c>
      <c r="B17" s="38" t="s">
        <v>112</v>
      </c>
      <c r="C17" s="15" t="s">
        <v>113</v>
      </c>
      <c r="D17" s="318"/>
      <c r="E17" s="317"/>
      <c r="F17" s="317"/>
      <c r="G17" s="317"/>
      <c r="H17" s="318"/>
      <c r="I17" s="317"/>
      <c r="J17" s="317"/>
      <c r="K17" s="39" t="s">
        <v>114</v>
      </c>
    </row>
    <row r="18" spans="1:11" ht="43.5" customHeight="1" x14ac:dyDescent="0.35">
      <c r="A18" s="316">
        <v>3</v>
      </c>
      <c r="B18" s="38" t="s">
        <v>115</v>
      </c>
      <c r="C18" s="38" t="s">
        <v>116</v>
      </c>
      <c r="D18" s="318"/>
      <c r="E18" s="317"/>
      <c r="F18" s="317"/>
      <c r="G18" s="317"/>
      <c r="H18" s="318"/>
      <c r="I18" s="317"/>
      <c r="J18" s="317"/>
      <c r="K18" s="39" t="s">
        <v>117</v>
      </c>
    </row>
    <row r="19" spans="1:11" x14ac:dyDescent="0.35">
      <c r="A19" s="365" t="s">
        <v>118</v>
      </c>
      <c r="B19" s="356"/>
      <c r="C19" s="356"/>
      <c r="D19" s="356"/>
      <c r="E19" s="356"/>
      <c r="F19" s="356"/>
      <c r="G19" s="356"/>
      <c r="H19" s="356"/>
      <c r="I19" s="356"/>
      <c r="J19" s="356"/>
      <c r="K19" s="357"/>
    </row>
    <row r="20" spans="1:11" ht="26.25" customHeight="1" x14ac:dyDescent="0.35">
      <c r="A20" s="316">
        <v>4</v>
      </c>
      <c r="B20" s="36" t="s">
        <v>119</v>
      </c>
      <c r="C20" s="37" t="s">
        <v>120</v>
      </c>
      <c r="D20" s="318"/>
      <c r="E20" s="317"/>
      <c r="F20" s="317"/>
      <c r="G20" s="317"/>
      <c r="H20" s="317"/>
      <c r="I20" s="317"/>
      <c r="J20" s="36"/>
      <c r="K20" s="35" t="s">
        <v>121</v>
      </c>
    </row>
    <row r="21" spans="1:11" ht="22.5" customHeight="1" x14ac:dyDescent="0.35">
      <c r="A21" s="316">
        <v>5</v>
      </c>
      <c r="B21" s="36" t="s">
        <v>87</v>
      </c>
      <c r="C21" s="37" t="s">
        <v>122</v>
      </c>
      <c r="D21" s="318"/>
      <c r="E21" s="317"/>
      <c r="F21" s="317"/>
      <c r="G21" s="317"/>
      <c r="H21" s="317"/>
      <c r="I21" s="317"/>
      <c r="J21" s="36"/>
      <c r="K21" s="35" t="s">
        <v>123</v>
      </c>
    </row>
    <row r="22" spans="1:11" ht="8.15" customHeight="1" x14ac:dyDescent="0.35">
      <c r="A22" s="369" t="s">
        <v>124</v>
      </c>
      <c r="B22" s="370"/>
      <c r="C22" s="370"/>
      <c r="D22" s="370"/>
      <c r="E22" s="370"/>
      <c r="F22" s="370"/>
      <c r="G22" s="370"/>
      <c r="H22" s="370"/>
      <c r="I22" s="370"/>
      <c r="J22" s="370"/>
      <c r="K22" s="371"/>
    </row>
    <row r="23" spans="1:11" ht="12" customHeight="1" x14ac:dyDescent="0.35">
      <c r="A23" s="372"/>
      <c r="B23" s="373"/>
      <c r="C23" s="373"/>
      <c r="D23" s="373"/>
      <c r="E23" s="373"/>
      <c r="F23" s="373"/>
      <c r="G23" s="373"/>
      <c r="H23" s="373"/>
      <c r="I23" s="373"/>
      <c r="J23" s="373"/>
      <c r="K23" s="374"/>
    </row>
    <row r="24" spans="1:11" ht="43.5" customHeight="1" x14ac:dyDescent="0.35">
      <c r="A24" s="316">
        <v>6</v>
      </c>
      <c r="B24" s="36" t="s">
        <v>125</v>
      </c>
      <c r="C24" s="37" t="s">
        <v>126</v>
      </c>
      <c r="D24" s="318"/>
      <c r="E24" s="317"/>
      <c r="F24" s="317"/>
      <c r="G24" s="317"/>
      <c r="H24" s="317"/>
      <c r="I24" s="317"/>
      <c r="J24" s="36"/>
      <c r="K24" s="35" t="s">
        <v>127</v>
      </c>
    </row>
    <row r="25" spans="1:11" ht="43.5" customHeight="1" x14ac:dyDescent="0.35">
      <c r="A25" s="316">
        <f>A24+1</f>
        <v>7</v>
      </c>
      <c r="B25" s="36" t="s">
        <v>128</v>
      </c>
      <c r="C25" s="38" t="s">
        <v>129</v>
      </c>
      <c r="D25" s="318"/>
      <c r="E25" s="317"/>
      <c r="F25" s="317"/>
      <c r="G25" s="317"/>
      <c r="H25" s="317"/>
      <c r="I25" s="317"/>
      <c r="J25" s="36"/>
      <c r="K25" s="35" t="s">
        <v>130</v>
      </c>
    </row>
    <row r="26" spans="1:11" ht="43.5" customHeight="1" x14ac:dyDescent="0.35">
      <c r="A26" s="316">
        <f>A25+1</f>
        <v>8</v>
      </c>
      <c r="B26" s="38" t="s">
        <v>89</v>
      </c>
      <c r="C26" s="38" t="s">
        <v>146</v>
      </c>
      <c r="D26" s="318"/>
      <c r="E26" s="317"/>
      <c r="F26" s="317"/>
      <c r="G26" s="317"/>
      <c r="H26" s="317"/>
      <c r="I26" s="317"/>
      <c r="J26" s="36"/>
      <c r="K26" s="35" t="s">
        <v>131</v>
      </c>
    </row>
    <row r="27" spans="1:11" ht="43.5" customHeight="1" x14ac:dyDescent="0.35">
      <c r="A27" s="316">
        <f>A26+1</f>
        <v>9</v>
      </c>
      <c r="B27" s="38" t="s">
        <v>88</v>
      </c>
      <c r="C27" s="38" t="s">
        <v>132</v>
      </c>
      <c r="D27" s="318"/>
      <c r="E27" s="317"/>
      <c r="F27" s="317"/>
      <c r="G27" s="317"/>
      <c r="H27" s="317"/>
      <c r="I27" s="317"/>
      <c r="J27" s="36"/>
      <c r="K27" s="35" t="s">
        <v>133</v>
      </c>
    </row>
    <row r="28" spans="1:11" x14ac:dyDescent="0.35">
      <c r="A28" s="316">
        <f>A27+1</f>
        <v>10</v>
      </c>
      <c r="B28" s="38" t="s">
        <v>134</v>
      </c>
      <c r="C28" s="366"/>
      <c r="D28" s="367"/>
      <c r="E28" s="367"/>
      <c r="F28" s="367"/>
      <c r="G28" s="367"/>
      <c r="H28" s="367"/>
      <c r="I28" s="367"/>
      <c r="J28" s="367"/>
      <c r="K28" s="368"/>
    </row>
    <row r="29" spans="1:11" x14ac:dyDescent="0.35">
      <c r="A29" s="365" t="s">
        <v>135</v>
      </c>
      <c r="B29" s="356"/>
      <c r="C29" s="356"/>
      <c r="D29" s="356"/>
      <c r="E29" s="356"/>
      <c r="F29" s="356"/>
      <c r="G29" s="356"/>
      <c r="H29" s="356"/>
      <c r="I29" s="356"/>
      <c r="J29" s="356"/>
      <c r="K29" s="357"/>
    </row>
    <row r="30" spans="1:11" ht="53.25" customHeight="1" x14ac:dyDescent="0.35">
      <c r="A30" s="316">
        <v>11</v>
      </c>
      <c r="B30" s="38" t="s">
        <v>90</v>
      </c>
      <c r="C30" s="38" t="s">
        <v>136</v>
      </c>
      <c r="D30" s="37"/>
      <c r="E30" s="317"/>
      <c r="F30" s="317"/>
      <c r="G30" s="317"/>
      <c r="H30" s="317"/>
      <c r="I30" s="317"/>
      <c r="J30" s="36"/>
      <c r="K30" s="35" t="s">
        <v>137</v>
      </c>
    </row>
    <row r="31" spans="1:11" ht="15" thickBot="1" x14ac:dyDescent="0.4">
      <c r="A31" s="316">
        <f>A30+1</f>
        <v>12</v>
      </c>
      <c r="B31" s="34" t="s">
        <v>138</v>
      </c>
      <c r="C31" s="345"/>
      <c r="D31" s="346"/>
      <c r="E31" s="346"/>
      <c r="F31" s="346"/>
      <c r="G31" s="346"/>
      <c r="H31" s="346"/>
      <c r="I31" s="346"/>
      <c r="J31" s="346"/>
      <c r="K31" s="347"/>
    </row>
    <row r="32" spans="1:11" x14ac:dyDescent="0.35">
      <c r="A32" s="29" t="s">
        <v>139</v>
      </c>
      <c r="B32" s="33" t="s">
        <v>140</v>
      </c>
      <c r="C32" s="33"/>
    </row>
    <row r="33" spans="1:11" x14ac:dyDescent="0.35">
      <c r="B33" s="29"/>
    </row>
    <row r="34" spans="1:11" ht="15" thickBot="1" x14ac:dyDescent="0.4">
      <c r="A34" s="32" t="s">
        <v>141</v>
      </c>
    </row>
    <row r="35" spans="1:11" ht="29.25" customHeight="1" x14ac:dyDescent="0.35">
      <c r="A35" s="348" t="s">
        <v>142</v>
      </c>
      <c r="B35" s="351" t="s">
        <v>143</v>
      </c>
      <c r="C35" s="351"/>
      <c r="D35" s="351"/>
      <c r="E35" s="351"/>
      <c r="F35" s="351"/>
      <c r="G35" s="351"/>
      <c r="H35" s="351"/>
      <c r="I35" s="351"/>
      <c r="J35" s="352"/>
      <c r="K35" s="353"/>
    </row>
    <row r="36" spans="1:11" ht="25" customHeight="1" x14ac:dyDescent="0.35">
      <c r="A36" s="349"/>
      <c r="B36" s="321"/>
      <c r="C36" s="322"/>
      <c r="D36" s="322"/>
      <c r="E36" s="322"/>
      <c r="F36" s="322"/>
      <c r="G36" s="322"/>
      <c r="H36" s="322"/>
      <c r="I36" s="323"/>
      <c r="J36" s="354"/>
      <c r="K36" s="355"/>
    </row>
    <row r="37" spans="1:11" x14ac:dyDescent="0.35">
      <c r="A37" s="349"/>
      <c r="B37" s="360"/>
      <c r="C37" s="361"/>
      <c r="D37" s="361"/>
      <c r="E37" s="361"/>
      <c r="F37" s="361"/>
      <c r="G37" s="361"/>
      <c r="H37" s="361"/>
      <c r="I37" s="362"/>
      <c r="J37" s="354"/>
      <c r="K37" s="355"/>
    </row>
    <row r="38" spans="1:11" ht="25" customHeight="1" x14ac:dyDescent="0.35">
      <c r="A38" s="349"/>
      <c r="B38" s="324"/>
      <c r="C38" s="325"/>
      <c r="D38" s="325"/>
      <c r="E38" s="325"/>
      <c r="F38" s="325"/>
      <c r="G38" s="325"/>
      <c r="H38" s="325"/>
      <c r="I38" s="326"/>
      <c r="J38" s="356" t="s">
        <v>144</v>
      </c>
      <c r="K38" s="357"/>
    </row>
    <row r="39" spans="1:11" ht="25" customHeight="1" thickBot="1" x14ac:dyDescent="0.4">
      <c r="A39" s="350"/>
      <c r="B39" s="327"/>
      <c r="C39" s="328"/>
      <c r="D39" s="328"/>
      <c r="E39" s="328"/>
      <c r="F39" s="328"/>
      <c r="G39" s="328"/>
      <c r="H39" s="328"/>
      <c r="I39" s="329"/>
      <c r="J39" s="358" t="s">
        <v>145</v>
      </c>
      <c r="K39" s="359"/>
    </row>
  </sheetData>
  <dataConsolidate/>
  <mergeCells count="26">
    <mergeCell ref="A3:D3"/>
    <mergeCell ref="G3:K3"/>
    <mergeCell ref="G4:K4"/>
    <mergeCell ref="A6:K6"/>
    <mergeCell ref="A8:B8"/>
    <mergeCell ref="D8:H8"/>
    <mergeCell ref="A9:B9"/>
    <mergeCell ref="D9:H9"/>
    <mergeCell ref="A10:B10"/>
    <mergeCell ref="D10:H10"/>
    <mergeCell ref="A13:B14"/>
    <mergeCell ref="C13:C14"/>
    <mergeCell ref="D13:J13"/>
    <mergeCell ref="K13:K14"/>
    <mergeCell ref="A15:K15"/>
    <mergeCell ref="A19:K19"/>
    <mergeCell ref="C28:K28"/>
    <mergeCell ref="A29:K29"/>
    <mergeCell ref="A22:K23"/>
    <mergeCell ref="C31:K31"/>
    <mergeCell ref="A35:A39"/>
    <mergeCell ref="B35:I35"/>
    <mergeCell ref="J35:K37"/>
    <mergeCell ref="J38:K38"/>
    <mergeCell ref="J39:K39"/>
    <mergeCell ref="B37:I37"/>
  </mergeCells>
  <printOptions horizontalCentered="1" verticalCentered="1"/>
  <pageMargins left="0.23622047244094491" right="0.23622047244094491" top="0" bottom="0" header="0.31496062992125984" footer="0.31496062992125984"/>
  <pageSetup paperSize="9" scale="59" fitToWidth="0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IST</vt:lpstr>
      <vt:lpstr>PAPI</vt:lpstr>
      <vt:lpstr>MSDT</vt:lpstr>
      <vt:lpstr>DISC</vt:lpstr>
      <vt:lpstr>RMIB</vt:lpstr>
      <vt:lpstr>NORMA IST</vt:lpstr>
      <vt:lpstr>NORMA PAPI</vt:lpstr>
      <vt:lpstr>MAPPING</vt:lpstr>
      <vt:lpstr>PSIKOGRAM</vt:lpstr>
      <vt:lpstr>PSIKOGRAM!Print_Area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Bayu Pratama</dc:creator>
  <cp:lastModifiedBy>Bayu Pratama</cp:lastModifiedBy>
  <dcterms:created xsi:type="dcterms:W3CDTF">2024-01-10T06:20:53Z</dcterms:created>
  <dcterms:modified xsi:type="dcterms:W3CDTF">2024-05-07T07:03:29Z</dcterms:modified>
</cp:coreProperties>
</file>